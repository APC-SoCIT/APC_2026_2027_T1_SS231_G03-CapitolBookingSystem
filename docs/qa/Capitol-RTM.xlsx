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Test Cases" sheetId="3" state="visible" r:id="rId3"/>
    <sheet xmlns:r="http://schemas.openxmlformats.org/officeDocument/2006/relationships" name="RTM" sheetId="4" state="visible" r:id="rId4"/>
    <sheet xmlns:r="http://schemas.openxmlformats.org/officeDocument/2006/relationships" name="Findings" sheetId="5" state="visible" r:id="rId5"/>
  </sheets>
  <definedNames>
    <definedName name="_xlnm._FilterDatabase" localSheetId="2" hidden="1">'Test Cases'!$A$1:$U$155</definedName>
    <definedName name="_xlnm._FilterDatabase" localSheetId="3" hidden="1">'RTM'!$A$1:$O$41</definedName>
    <definedName name="_xlnm._FilterDatabase" localSheetId="4" hidden="1">'Findings'!$A$1:$L$33</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Arial"/>
      <b val="1"/>
      <sz val="10"/>
    </font>
    <font>
      <name val="Arial"/>
      <sz val="10"/>
    </font>
    <font>
      <name val="Arial"/>
      <b val="1"/>
      <color rgb="00640000"/>
      <sz val="16"/>
    </font>
    <font>
      <name val="Arial"/>
      <b val="1"/>
      <color rgb="00640000"/>
      <sz val="11"/>
    </font>
    <font>
      <name val="Arial"/>
      <b val="1"/>
      <color rgb="00FFFFFF"/>
      <sz val="10"/>
    </font>
    <font>
      <name val="Arial"/>
      <b val="1"/>
      <sz val="9"/>
    </font>
    <font>
      <name val="Arial"/>
      <sz val="9"/>
    </font>
    <font>
      <name val="Arial"/>
      <i val="1"/>
      <sz val="9"/>
    </font>
    <font>
      <name val="Arial"/>
      <b val="1"/>
      <color rgb="00640000"/>
      <sz val="14"/>
    </font>
  </fonts>
  <fills count="4">
    <fill>
      <patternFill/>
    </fill>
    <fill>
      <patternFill patternType="gray125"/>
    </fill>
    <fill>
      <patternFill patternType="solid">
        <fgColor rgb="00FFF2CC"/>
      </patternFill>
    </fill>
    <fill>
      <patternFill patternType="solid">
        <fgColor rgb="0064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1" fillId="0" borderId="0" applyAlignment="1" pivotButton="0" quotePrefix="0" xfId="0">
      <alignment vertical="top"/>
    </xf>
    <xf numFmtId="0" fontId="4" fillId="0" borderId="0" applyAlignment="1" pivotButton="0" quotePrefix="0" xfId="0">
      <alignment vertical="top"/>
    </xf>
    <xf numFmtId="0" fontId="2" fillId="2" borderId="0" applyAlignment="1" pivotButton="0" quotePrefix="0" xfId="0">
      <alignment vertical="top" wrapText="1"/>
    </xf>
    <xf numFmtId="0" fontId="9" fillId="0" borderId="0" pivotButton="0" quotePrefix="0" xfId="0"/>
    <xf numFmtId="0" fontId="5" fillId="3" borderId="1" applyAlignment="1" pivotButton="0" quotePrefix="0" xfId="0">
      <alignment horizontal="center"/>
    </xf>
    <xf numFmtId="0" fontId="6" fillId="0" borderId="1" applyAlignment="1" pivotButton="0" quotePrefix="0" xfId="0">
      <alignment vertical="top" wrapText="1"/>
    </xf>
    <xf numFmtId="0" fontId="7" fillId="0" borderId="1" applyAlignment="1" pivotButton="0" quotePrefix="0" xfId="0">
      <alignment horizontal="center" vertical="top" wrapText="1"/>
    </xf>
    <xf numFmtId="9" fontId="7" fillId="0" borderId="1" applyAlignment="1" pivotButton="0" quotePrefix="0" xfId="0">
      <alignment horizontal="center" vertical="top" wrapText="1"/>
    </xf>
    <xf numFmtId="0" fontId="6" fillId="0" borderId="1" applyAlignment="1" pivotButton="0" quotePrefix="0" xfId="0">
      <alignment horizontal="center" vertical="top" wrapText="1"/>
    </xf>
    <xf numFmtId="9" fontId="6" fillId="0" borderId="1" applyAlignment="1" pivotButton="0" quotePrefix="0" xfId="0">
      <alignment horizontal="center" vertical="top" wrapText="1"/>
    </xf>
    <xf numFmtId="0" fontId="4" fillId="0" borderId="0" pivotButton="0" quotePrefix="0" xfId="0"/>
    <xf numFmtId="0" fontId="5" fillId="3" borderId="1" applyAlignment="1" pivotButton="0" quotePrefix="0" xfId="0">
      <alignment horizontal="center" vertical="center" wrapText="1"/>
    </xf>
    <xf numFmtId="0" fontId="7" fillId="0" borderId="1" applyAlignment="1" pivotButton="0" quotePrefix="0" xfId="0">
      <alignment vertical="top" wrapText="1"/>
    </xf>
    <xf numFmtId="0" fontId="7" fillId="2" borderId="1" applyAlignment="1" pivotButton="0" quotePrefix="0" xfId="0">
      <alignment horizontal="center" vertical="top" wrapText="1"/>
    </xf>
    <xf numFmtId="0" fontId="7" fillId="2" borderId="1" applyAlignment="1" pivotButton="0" quotePrefix="0" xfId="0">
      <alignment vertical="top" wrapText="1"/>
    </xf>
    <xf numFmtId="164" fontId="7" fillId="2" borderId="1" applyAlignment="1" pivotButton="0" quotePrefix="0" xfId="0">
      <alignment horizontal="center" vertical="top" wrapText="1"/>
    </xf>
    <xf numFmtId="0" fontId="8" fillId="0" borderId="0" pivotButton="0" quotePrefix="0" xfId="0"/>
  </cellXfs>
  <cellStyles count="1">
    <cellStyle name="Normal" xfId="0" builtinId="0" hidden="0"/>
  </cellStyles>
  <dxfs count="6">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
      <font>
        <name val="Arial"/>
        <color rgb="009C0006"/>
        <sz val="9"/>
      </font>
    </dxf>
    <dxf>
      <fill>
        <patternFill patternType="solid">
          <fgColor rgb="00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6" customWidth="1" min="1" max="1"/>
    <col width="95" customWidth="1" min="2" max="2"/>
  </cols>
  <sheetData>
    <row r="1">
      <c r="A1" s="1" t="inlineStr">
        <is>
          <t>Capitol Booking System — Requirements Traceability Matrix</t>
        </is>
      </c>
      <c r="B1" s="2" t="n"/>
    </row>
    <row r="2">
      <c r="A2" s="3" t="n"/>
      <c r="B2" s="2" t="n"/>
    </row>
    <row r="3">
      <c r="A3" s="3" t="inlineStr">
        <is>
          <t>Project</t>
        </is>
      </c>
      <c r="B3" s="2" t="inlineStr">
        <is>
          <t>Capitol Booking System (CBS), Vector Four — SS231 G03</t>
        </is>
      </c>
    </row>
    <row r="4">
      <c r="A4" s="3" t="inlineStr">
        <is>
          <t>Source of truth</t>
        </is>
      </c>
      <c r="B4" s="2" t="inlineStr">
        <is>
          <t>Software Requirements Specification v1.1 (10-6-2026)</t>
        </is>
      </c>
    </row>
    <row r="5">
      <c r="A5" s="3" t="inlineStr">
        <is>
          <t>Test basis</t>
        </is>
      </c>
      <c r="B5" s="2" t="inlineStr">
        <is>
          <t>docs/qa/manual-test-suite.md on branch test/manual-test-suite</t>
        </is>
      </c>
    </row>
    <row r="6">
      <c r="A6" s="3" t="inlineStr">
        <is>
          <t>Code baseline</t>
        </is>
      </c>
      <c r="B6" s="2" t="inlineStr">
        <is>
          <t>main @ 010694c</t>
        </is>
      </c>
    </row>
    <row r="7">
      <c r="A7" s="3" t="inlineStr">
        <is>
          <t>System under test</t>
        </is>
      </c>
      <c r="B7" s="2" t="inlineStr">
        <is>
          <t>https://capitolrestaurant.up.railway.app</t>
        </is>
      </c>
    </row>
    <row r="8">
      <c r="A8" s="3" t="n"/>
      <c r="B8" s="2" t="n"/>
    </row>
    <row r="9">
      <c r="A9" s="4" t="inlineStr">
        <is>
          <t>Sheets</t>
        </is>
      </c>
      <c r="B9" s="2" t="n"/>
    </row>
    <row r="10">
      <c r="A10" s="3" t="inlineStr">
        <is>
          <t>Summary</t>
        </is>
      </c>
      <c r="B10" s="2" t="inlineStr">
        <is>
          <t>Execution progress, pass rate and requirement coverage. All figures are formulas; do not edit.</t>
        </is>
      </c>
    </row>
    <row r="11">
      <c r="A11" s="3" t="inlineStr">
        <is>
          <t>RTM</t>
        </is>
      </c>
      <c r="B11" s="2" t="inlineStr">
        <is>
          <t>One row per SRS requirement → linked test cases, findings and a computed verdict (forward and backward traceability).</t>
        </is>
      </c>
    </row>
    <row r="12">
      <c r="A12" s="3" t="inlineStr">
        <is>
          <t>Test Cases</t>
        </is>
      </c>
      <c r="B12" s="2" t="inlineStr">
        <is>
          <t>All test cases with steps and expected results, plus the execution columns you fill in.</t>
        </is>
      </c>
    </row>
    <row r="13">
      <c r="A13" s="3" t="inlineStr">
        <is>
          <t>Findings</t>
        </is>
      </c>
      <c r="B13" s="2" t="inlineStr">
        <is>
          <t>SRS-vs-app deviations found during test design (F-01 to F-31), with a defect workflow.</t>
        </is>
      </c>
    </row>
    <row r="14">
      <c r="A14" s="3" t="inlineStr">
        <is>
          <t>Requirement IDs</t>
        </is>
      </c>
      <c r="B14" s="2" t="inlineStr">
        <is>
          <t>SRS IDs are used as written (REQ-*). The SRS does not number its business rules, flows, user classes or non-functional items, so the RTM assigns IDs (BR-01, SEQ-RES, NFR-SEC-01 …) with the SRS section next to each. BRIEF marks cases that come from the test brief rather than the SRS.</t>
        </is>
      </c>
    </row>
    <row r="15">
      <c r="A15" s="3" t="n"/>
      <c r="B15" s="2" t="n"/>
    </row>
    <row r="16">
      <c r="A16" s="4" t="inlineStr">
        <is>
          <t>How to record a run</t>
        </is>
      </c>
      <c r="B16" s="2" t="n"/>
    </row>
    <row r="17">
      <c r="A17" s="3" t="inlineStr">
        <is>
          <t>Cells to edit</t>
        </is>
      </c>
      <c r="B17" s="5" t="inlineStr">
        <is>
          <t>Only the yellow cells: Test Cases → Status, Actual Result, Defect / Finding ID, Tester, Date Executed, Build / Commit, Remarks, Verification Method; Findings → Status, Owner, Target Date, Resolution Notes. Everything else is reference data or a formula.</t>
        </is>
      </c>
    </row>
    <row r="18">
      <c r="A18" s="3" t="inlineStr">
        <is>
          <t>Status values</t>
        </is>
      </c>
      <c r="B18" s="2" t="inlineStr">
        <is>
          <t>Not Run · Pass · Fail · Blocked · N/A (drop-down). A case that confirms a known finding is a Fail; put the F-xx in Defect / Finding ID.</t>
        </is>
      </c>
    </row>
    <row r="19">
      <c r="A19" s="3" t="inlineStr">
        <is>
          <t>Outlook column</t>
        </is>
      </c>
      <c r="B19" s="2" t="inlineStr">
        <is>
          <t>'Known deviation' means code review already predicts a Fail (the case references a finding). 'Expected to pass' means no known issue.</t>
        </is>
      </c>
    </row>
    <row r="20">
      <c r="A20" s="3" t="inlineStr">
        <is>
          <t>Verification method</t>
        </is>
      </c>
      <c r="B20" s="2" t="inlineStr">
        <is>
          <t>Test = executed against the live site · Automated test = repo script · Inspection = result is certain from the code deployed on the live site (checked in its JS bundle) and the source at 010694c; used only for missing features and fixed validation rules. Re-confirm inspection results during the manual run and switch the method to Test.</t>
        </is>
      </c>
    </row>
    <row r="21">
      <c r="A21" s="3" t="inlineStr">
        <is>
          <t>30-min subset</t>
        </is>
      </c>
      <c r="B21" s="2" t="inlineStr">
        <is>
          <t>Test Cases → 30-min = Y marks the time-boxed run (about 28 minutes). Filter on it.</t>
        </is>
      </c>
    </row>
    <row r="22">
      <c r="A22" s="3" t="inlineStr">
        <is>
          <t>Requirement verdict</t>
        </is>
      </c>
      <c r="B22" s="2" t="inlineStr">
        <is>
          <t>RTM → Verdict is computed: No coverage · Not run · In progress · Fail (any linked case failed) · Pass (all linked cases passed or N/A).</t>
        </is>
      </c>
    </row>
    <row r="23">
      <c r="A23" s="3" t="n"/>
      <c r="B23" s="2" t="n"/>
    </row>
    <row r="24">
      <c r="A24" s="3" t="inlineStr">
        <is>
          <t>Example of a filled row</t>
        </is>
      </c>
      <c r="B24" s="2" t="inlineStr">
        <is>
          <t>ID FR-02 · Status Fail · Actual Result: 'Guests = 9 accepted, calendar opened' · Defect / Finding ID F-03 · Tester M. Balidio · Date Executed 2026-10-08 · Build / Commit 010694c · Remarks: 'Matches known finding; SRS BR Party Size requires 10–50'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0"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6" t="inlineStr">
        <is>
          <t>Test Execution Summary</t>
        </is>
      </c>
    </row>
    <row r="3">
      <c r="A3" s="7" t="inlineStr">
        <is>
          <t>Suite</t>
        </is>
      </c>
      <c r="B3" s="7" t="inlineStr">
        <is>
          <t>Total</t>
        </is>
      </c>
      <c r="C3" s="7" t="inlineStr">
        <is>
          <t>Pass</t>
        </is>
      </c>
      <c r="D3" s="7" t="inlineStr">
        <is>
          <t>Fail</t>
        </is>
      </c>
      <c r="E3" s="7" t="inlineStr">
        <is>
          <t>Blocked</t>
        </is>
      </c>
      <c r="F3" s="7" t="inlineStr">
        <is>
          <t>N/A</t>
        </is>
      </c>
      <c r="G3" s="7" t="inlineStr">
        <is>
          <t>Not Run</t>
        </is>
      </c>
      <c r="H3" s="7" t="inlineStr">
        <is>
          <t>Executed %</t>
        </is>
      </c>
      <c r="I3" s="7" t="inlineStr">
        <is>
          <t>Pass rate</t>
        </is>
      </c>
    </row>
    <row r="4">
      <c r="A4" s="8" t="inlineStr">
        <is>
          <t>Smoke</t>
        </is>
      </c>
      <c r="B4" s="9">
        <f>COUNTIF('Test Cases'!$B$2:$B$155,A4)</f>
        <v/>
      </c>
      <c r="C4" s="9">
        <f>COUNTIFS('Test Cases'!$B$2:$B$155,$A4,'Test Cases'!$N$2:$N$155,"Pass")</f>
        <v/>
      </c>
      <c r="D4" s="9">
        <f>COUNTIFS('Test Cases'!$B$2:$B$155,$A4,'Test Cases'!$N$2:$N$155,"Fail")</f>
        <v/>
      </c>
      <c r="E4" s="9">
        <f>COUNTIFS('Test Cases'!$B$2:$B$155,$A4,'Test Cases'!$N$2:$N$155,"Blocked")</f>
        <v/>
      </c>
      <c r="F4" s="9">
        <f>COUNTIFS('Test Cases'!$B$2:$B$155,$A4,'Test Cases'!$N$2:$N$155,"N/A")</f>
        <v/>
      </c>
      <c r="G4" s="9">
        <f>COUNTIFS('Test Cases'!$B$2:$B$155,$A4,'Test Cases'!$N$2:$N$155,"Not Run")</f>
        <v/>
      </c>
      <c r="H4" s="10">
        <f>IF(B4=0,0,(B4-G4)/B4)</f>
        <v/>
      </c>
      <c r="I4" s="10">
        <f>IF(C4+D4=0,0,C4/(C4+D4))</f>
        <v/>
      </c>
    </row>
    <row r="5">
      <c r="A5" s="8" t="inlineStr">
        <is>
          <t>Feature</t>
        </is>
      </c>
      <c r="B5" s="9">
        <f>COUNTIF('Test Cases'!$B$2:$B$155,A5)</f>
        <v/>
      </c>
      <c r="C5" s="9">
        <f>COUNTIFS('Test Cases'!$B$2:$B$155,$A5,'Test Cases'!$N$2:$N$155,"Pass")</f>
        <v/>
      </c>
      <c r="D5" s="9">
        <f>COUNTIFS('Test Cases'!$B$2:$B$155,$A5,'Test Cases'!$N$2:$N$155,"Fail")</f>
        <v/>
      </c>
      <c r="E5" s="9">
        <f>COUNTIFS('Test Cases'!$B$2:$B$155,$A5,'Test Cases'!$N$2:$N$155,"Blocked")</f>
        <v/>
      </c>
      <c r="F5" s="9">
        <f>COUNTIFS('Test Cases'!$B$2:$B$155,$A5,'Test Cases'!$N$2:$N$155,"N/A")</f>
        <v/>
      </c>
      <c r="G5" s="9">
        <f>COUNTIFS('Test Cases'!$B$2:$B$155,$A5,'Test Cases'!$N$2:$N$155,"Not Run")</f>
        <v/>
      </c>
      <c r="H5" s="10">
        <f>IF(B5=0,0,(B5-G5)/B5)</f>
        <v/>
      </c>
      <c r="I5" s="10">
        <f>IF(C5+D5=0,0,C5/(C5+D5))</f>
        <v/>
      </c>
    </row>
    <row r="6">
      <c r="A6" s="8" t="inlineStr">
        <is>
          <t>Non-functional</t>
        </is>
      </c>
      <c r="B6" s="9">
        <f>COUNTIF('Test Cases'!$B$2:$B$155,A6)</f>
        <v/>
      </c>
      <c r="C6" s="9">
        <f>COUNTIFS('Test Cases'!$B$2:$B$155,$A6,'Test Cases'!$N$2:$N$155,"Pass")</f>
        <v/>
      </c>
      <c r="D6" s="9">
        <f>COUNTIFS('Test Cases'!$B$2:$B$155,$A6,'Test Cases'!$N$2:$N$155,"Fail")</f>
        <v/>
      </c>
      <c r="E6" s="9">
        <f>COUNTIFS('Test Cases'!$B$2:$B$155,$A6,'Test Cases'!$N$2:$N$155,"Blocked")</f>
        <v/>
      </c>
      <c r="F6" s="9">
        <f>COUNTIFS('Test Cases'!$B$2:$B$155,$A6,'Test Cases'!$N$2:$N$155,"N/A")</f>
        <v/>
      </c>
      <c r="G6" s="9">
        <f>COUNTIFS('Test Cases'!$B$2:$B$155,$A6,'Test Cases'!$N$2:$N$155,"Not Run")</f>
        <v/>
      </c>
      <c r="H6" s="10">
        <f>IF(B6=0,0,(B6-G6)/B6)</f>
        <v/>
      </c>
      <c r="I6" s="10">
        <f>IF(C6+D6=0,0,C6/(C6+D6))</f>
        <v/>
      </c>
    </row>
    <row r="7">
      <c r="A7" s="8" t="inlineStr">
        <is>
          <t>Role matrix</t>
        </is>
      </c>
      <c r="B7" s="9">
        <f>COUNTIF('Test Cases'!$B$2:$B$155,A7)</f>
        <v/>
      </c>
      <c r="C7" s="9">
        <f>COUNTIFS('Test Cases'!$B$2:$B$155,$A7,'Test Cases'!$N$2:$N$155,"Pass")</f>
        <v/>
      </c>
      <c r="D7" s="9">
        <f>COUNTIFS('Test Cases'!$B$2:$B$155,$A7,'Test Cases'!$N$2:$N$155,"Fail")</f>
        <v/>
      </c>
      <c r="E7" s="9">
        <f>COUNTIFS('Test Cases'!$B$2:$B$155,$A7,'Test Cases'!$N$2:$N$155,"Blocked")</f>
        <v/>
      </c>
      <c r="F7" s="9">
        <f>COUNTIFS('Test Cases'!$B$2:$B$155,$A7,'Test Cases'!$N$2:$N$155,"N/A")</f>
        <v/>
      </c>
      <c r="G7" s="9">
        <f>COUNTIFS('Test Cases'!$B$2:$B$155,$A7,'Test Cases'!$N$2:$N$155,"Not Run")</f>
        <v/>
      </c>
      <c r="H7" s="10">
        <f>IF(B7=0,0,(B7-G7)/B7)</f>
        <v/>
      </c>
      <c r="I7" s="10">
        <f>IF(C7+D7=0,0,C7/(C7+D7))</f>
        <v/>
      </c>
    </row>
    <row r="8">
      <c r="A8" s="8" t="inlineStr">
        <is>
          <t>DB / Security</t>
        </is>
      </c>
      <c r="B8" s="9">
        <f>COUNTIF('Test Cases'!$B$2:$B$155,A8)</f>
        <v/>
      </c>
      <c r="C8" s="9">
        <f>COUNTIFS('Test Cases'!$B$2:$B$155,$A8,'Test Cases'!$N$2:$N$155,"Pass")</f>
        <v/>
      </c>
      <c r="D8" s="9">
        <f>COUNTIFS('Test Cases'!$B$2:$B$155,$A8,'Test Cases'!$N$2:$N$155,"Fail")</f>
        <v/>
      </c>
      <c r="E8" s="9">
        <f>COUNTIFS('Test Cases'!$B$2:$B$155,$A8,'Test Cases'!$N$2:$N$155,"Blocked")</f>
        <v/>
      </c>
      <c r="F8" s="9">
        <f>COUNTIFS('Test Cases'!$B$2:$B$155,$A8,'Test Cases'!$N$2:$N$155,"N/A")</f>
        <v/>
      </c>
      <c r="G8" s="9">
        <f>COUNTIFS('Test Cases'!$B$2:$B$155,$A8,'Test Cases'!$N$2:$N$155,"Not Run")</f>
        <v/>
      </c>
      <c r="H8" s="10">
        <f>IF(B8=0,0,(B8-G8)/B8)</f>
        <v/>
      </c>
      <c r="I8" s="10">
        <f>IF(C8+D8=0,0,C8/(C8+D8))</f>
        <v/>
      </c>
    </row>
    <row r="9">
      <c r="A9" s="8" t="inlineStr">
        <is>
          <t>Total</t>
        </is>
      </c>
      <c r="B9" s="11">
        <f>SUM(B4:B8)</f>
        <v/>
      </c>
      <c r="C9" s="11">
        <f>SUM(C4:C8)</f>
        <v/>
      </c>
      <c r="D9" s="11">
        <f>SUM(D4:D8)</f>
        <v/>
      </c>
      <c r="E9" s="11">
        <f>SUM(E4:E8)</f>
        <v/>
      </c>
      <c r="F9" s="11">
        <f>SUM(F4:F8)</f>
        <v/>
      </c>
      <c r="G9" s="11">
        <f>SUM(G4:G8)</f>
        <v/>
      </c>
      <c r="H9" s="12">
        <f>IF(B9=0,0,(B9-G9)/B9)</f>
        <v/>
      </c>
      <c r="I9" s="12">
        <f>IF(C9+D9=0,0,C9/(C9+D9))</f>
        <v/>
      </c>
    </row>
    <row r="11">
      <c r="A11" s="13" t="inlineStr">
        <is>
          <t>By priority</t>
        </is>
      </c>
    </row>
    <row r="12">
      <c r="A12" s="7" t="inlineStr">
        <is>
          <t>Priority</t>
        </is>
      </c>
      <c r="B12" s="7" t="inlineStr">
        <is>
          <t>Total</t>
        </is>
      </c>
      <c r="C12" s="7" t="inlineStr">
        <is>
          <t>Pass</t>
        </is>
      </c>
      <c r="D12" s="7" t="inlineStr">
        <is>
          <t>Fail</t>
        </is>
      </c>
      <c r="E12" s="7" t="inlineStr">
        <is>
          <t>Blocked</t>
        </is>
      </c>
      <c r="F12" s="7" t="inlineStr">
        <is>
          <t>N/A</t>
        </is>
      </c>
      <c r="G12" s="7" t="inlineStr">
        <is>
          <t>Not Run</t>
        </is>
      </c>
    </row>
    <row r="13">
      <c r="A13" s="8" t="inlineStr">
        <is>
          <t>P1</t>
        </is>
      </c>
      <c r="B13" s="9">
        <f>COUNTIF('Test Cases'!$H$2:$H$155,A13)</f>
        <v/>
      </c>
      <c r="C13" s="9">
        <f>COUNTIFS('Test Cases'!$H$2:$H$155,$A13,'Test Cases'!$N$2:$N$155,"Pass")</f>
        <v/>
      </c>
      <c r="D13" s="9">
        <f>COUNTIFS('Test Cases'!$H$2:$H$155,$A13,'Test Cases'!$N$2:$N$155,"Fail")</f>
        <v/>
      </c>
      <c r="E13" s="9">
        <f>COUNTIFS('Test Cases'!$H$2:$H$155,$A13,'Test Cases'!$N$2:$N$155,"Blocked")</f>
        <v/>
      </c>
      <c r="F13" s="9">
        <f>COUNTIFS('Test Cases'!$H$2:$H$155,$A13,'Test Cases'!$N$2:$N$155,"N/A")</f>
        <v/>
      </c>
      <c r="G13" s="9">
        <f>COUNTIFS('Test Cases'!$H$2:$H$155,$A13,'Test Cases'!$N$2:$N$155,"Not Run")</f>
        <v/>
      </c>
    </row>
    <row r="14">
      <c r="A14" s="8" t="inlineStr">
        <is>
          <t>P2</t>
        </is>
      </c>
      <c r="B14" s="9">
        <f>COUNTIF('Test Cases'!$H$2:$H$155,A14)</f>
        <v/>
      </c>
      <c r="C14" s="9">
        <f>COUNTIFS('Test Cases'!$H$2:$H$155,$A14,'Test Cases'!$N$2:$N$155,"Pass")</f>
        <v/>
      </c>
      <c r="D14" s="9">
        <f>COUNTIFS('Test Cases'!$H$2:$H$155,$A14,'Test Cases'!$N$2:$N$155,"Fail")</f>
        <v/>
      </c>
      <c r="E14" s="9">
        <f>COUNTIFS('Test Cases'!$H$2:$H$155,$A14,'Test Cases'!$N$2:$N$155,"Blocked")</f>
        <v/>
      </c>
      <c r="F14" s="9">
        <f>COUNTIFS('Test Cases'!$H$2:$H$155,$A14,'Test Cases'!$N$2:$N$155,"N/A")</f>
        <v/>
      </c>
      <c r="G14" s="9">
        <f>COUNTIFS('Test Cases'!$H$2:$H$155,$A14,'Test Cases'!$N$2:$N$155,"Not Run")</f>
        <v/>
      </c>
    </row>
    <row r="16">
      <c r="A16" s="13" t="inlineStr">
        <is>
          <t>30-minute subset</t>
        </is>
      </c>
    </row>
    <row r="17">
      <c r="A17" s="8" t="inlineStr">
        <is>
          <t>Cases in subset</t>
        </is>
      </c>
      <c r="B17" s="9">
        <f>COUNTIF('Test Cases'!$M$2:$M$155,"Y")</f>
        <v/>
      </c>
    </row>
    <row r="18">
      <c r="A18" s="8" t="inlineStr">
        <is>
          <t>Executed</t>
        </is>
      </c>
      <c r="B18" s="9">
        <f>COUNTIFS('Test Cases'!$M$2:$M$155,"Y",'Test Cases'!$N$2:$N$155,"&lt;&gt;Not Run")</f>
        <v/>
      </c>
    </row>
    <row r="19">
      <c r="A19" s="8" t="inlineStr">
        <is>
          <t>Failed</t>
        </is>
      </c>
      <c r="B19" s="9">
        <f>COUNTIFS('Test Cases'!$M$2:$M$155,"Y",'Test Cases'!$N$2:$N$155,"Fail")</f>
        <v/>
      </c>
    </row>
    <row r="21">
      <c r="A21" s="13" t="inlineStr">
        <is>
          <t>Requirement coverage</t>
        </is>
      </c>
    </row>
    <row r="22">
      <c r="A22" s="8" t="inlineStr">
        <is>
          <t>Requirements traced</t>
        </is>
      </c>
      <c r="B22" s="9">
        <f>COUNTA(RTM!$A$2:$A$41)</f>
        <v/>
      </c>
    </row>
    <row r="23">
      <c r="A23" s="8" t="inlineStr">
        <is>
          <t>With ≥ 1 test case</t>
        </is>
      </c>
      <c r="B23" s="9">
        <f>COUNTIF(RTM!$H$2:$H$41,"&gt;0")</f>
        <v/>
      </c>
    </row>
    <row r="24">
      <c r="A24" s="8" t="inlineStr">
        <is>
          <t>Coverage %</t>
        </is>
      </c>
      <c r="B24" s="10">
        <f>IF(B22=0,0,B23/B22)</f>
        <v/>
      </c>
    </row>
    <row r="25">
      <c r="A25" s="8" t="inlineStr">
        <is>
          <t>Verdict: Pass</t>
        </is>
      </c>
      <c r="B25" s="9">
        <f>COUNTIF(RTM!$O$2:$O$41,"Pass")</f>
        <v/>
      </c>
    </row>
    <row r="26">
      <c r="A26" s="8" t="inlineStr">
        <is>
          <t>Verdict: Fail</t>
        </is>
      </c>
      <c r="B26" s="9">
        <f>COUNTIF(RTM!$O$2:$O$41,"Fail")</f>
        <v/>
      </c>
    </row>
    <row r="27">
      <c r="A27" s="8" t="inlineStr">
        <is>
          <t>Verdict: In progress</t>
        </is>
      </c>
      <c r="B27" s="9">
        <f>COUNTIF(RTM!$O$2:$O$41,"In progress")</f>
        <v/>
      </c>
    </row>
    <row r="28">
      <c r="A28" s="8" t="inlineStr">
        <is>
          <t>Verdict: Not run</t>
        </is>
      </c>
      <c r="B28" s="9">
        <f>COUNTIF(RTM!$O$2:$O$41,"Not run")</f>
        <v/>
      </c>
    </row>
    <row r="29">
      <c r="A29" s="8" t="inlineStr">
        <is>
          <t>Verdict: No coverage</t>
        </is>
      </c>
      <c r="B29" s="9">
        <f>COUNTIF(RTM!$O$2:$O$41,"No coverage")</f>
        <v/>
      </c>
    </row>
    <row r="31">
      <c r="A31" s="13" t="inlineStr">
        <is>
          <t>Findings</t>
        </is>
      </c>
    </row>
    <row r="32">
      <c r="A32" s="7" t="inlineStr">
        <is>
          <t>Status</t>
        </is>
      </c>
      <c r="B32" s="7" t="inlineStr">
        <is>
          <t>P1</t>
        </is>
      </c>
      <c r="C32" s="7" t="inlineStr">
        <is>
          <t>P2</t>
        </is>
      </c>
      <c r="D32" s="7" t="inlineStr">
        <is>
          <t>Total</t>
        </is>
      </c>
    </row>
    <row r="33">
      <c r="A33" s="8" t="inlineStr">
        <is>
          <t>Open</t>
        </is>
      </c>
      <c r="B33" s="9">
        <f>COUNTIFS(Findings!$I$2:$I$33,A33,Findings!$B$2:$B$33,"P1*")</f>
        <v/>
      </c>
      <c r="C33" s="9">
        <f>COUNTIFS(Findings!$I$2:$I$33,A33,Findings!$B$2:$B$33,"P2*")</f>
        <v/>
      </c>
      <c r="D33" s="9">
        <f>B33+C33</f>
        <v/>
      </c>
    </row>
    <row r="34">
      <c r="A34" s="8" t="inlineStr">
        <is>
          <t>In progress</t>
        </is>
      </c>
      <c r="B34" s="9">
        <f>COUNTIFS(Findings!$I$2:$I$33,A34,Findings!$B$2:$B$33,"P1*")</f>
        <v/>
      </c>
      <c r="C34" s="9">
        <f>COUNTIFS(Findings!$I$2:$I$33,A34,Findings!$B$2:$B$33,"P2*")</f>
        <v/>
      </c>
      <c r="D34" s="9">
        <f>B34+C34</f>
        <v/>
      </c>
    </row>
    <row r="35">
      <c r="A35" s="8" t="inlineStr">
        <is>
          <t>Fixed</t>
        </is>
      </c>
      <c r="B35" s="9">
        <f>COUNTIFS(Findings!$I$2:$I$33,A35,Findings!$B$2:$B$33,"P1*")</f>
        <v/>
      </c>
      <c r="C35" s="9">
        <f>COUNTIFS(Findings!$I$2:$I$33,A35,Findings!$B$2:$B$33,"P2*")</f>
        <v/>
      </c>
      <c r="D35" s="9">
        <f>B35+C35</f>
        <v/>
      </c>
    </row>
    <row r="36">
      <c r="A36" s="8" t="inlineStr">
        <is>
          <t>Verified</t>
        </is>
      </c>
      <c r="B36" s="9">
        <f>COUNTIFS(Findings!$I$2:$I$33,A36,Findings!$B$2:$B$33,"P1*")</f>
        <v/>
      </c>
      <c r="C36" s="9">
        <f>COUNTIFS(Findings!$I$2:$I$33,A36,Findings!$B$2:$B$33,"P2*")</f>
        <v/>
      </c>
      <c r="D36" s="9">
        <f>B36+C36</f>
        <v/>
      </c>
    </row>
    <row r="37">
      <c r="A37" s="8" t="inlineStr">
        <is>
          <t>Won't fix</t>
        </is>
      </c>
      <c r="B37" s="9">
        <f>COUNTIFS(Findings!$I$2:$I$33,A37,Findings!$B$2:$B$33,"P1*")</f>
        <v/>
      </c>
      <c r="C37" s="9">
        <f>COUNTIFS(Findings!$I$2:$I$33,A37,Findings!$B$2:$B$33,"P2*")</f>
        <v/>
      </c>
      <c r="D37" s="9">
        <f>B37+C37</f>
        <v/>
      </c>
    </row>
    <row r="38">
      <c r="A38" s="8" t="inlineStr">
        <is>
          <t>SRS to update</t>
        </is>
      </c>
      <c r="B38" s="9">
        <f>COUNTIFS(Findings!$I$2:$I$33,A38,Findings!$B$2:$B$33,"P1*")</f>
        <v/>
      </c>
      <c r="C38" s="9">
        <f>COUNTIFS(Findings!$I$2:$I$33,A38,Findings!$B$2:$B$33,"P2*")</f>
        <v/>
      </c>
      <c r="D38" s="9">
        <f>B38+C38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5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2" customWidth="1" min="2" max="2"/>
    <col width="18" customWidth="1" min="3" max="3"/>
    <col width="14" customWidth="1" min="4" max="4"/>
    <col width="22" customWidth="1" min="5" max="5"/>
    <col width="50" customWidth="1" min="6" max="6"/>
    <col width="50" customWidth="1" min="7" max="7"/>
    <col width="8" customWidth="1" min="8" max="8"/>
    <col width="18" customWidth="1" min="9" max="9"/>
    <col width="18" customWidth="1" min="10" max="10"/>
    <col width="11" customWidth="1" min="11" max="11"/>
    <col width="13" customWidth="1" min="12" max="12"/>
    <col width="7" customWidth="1" min="13" max="13"/>
    <col width="11" customWidth="1" min="14" max="14"/>
    <col width="30" customWidth="1" min="15" max="15"/>
    <col width="14" customWidth="1" min="16" max="16"/>
    <col width="14" customWidth="1" min="17" max="17"/>
    <col width="12" customWidth="1" min="18" max="18"/>
    <col width="13" customWidth="1" min="19" max="19"/>
    <col width="24" customWidth="1" min="20" max="20"/>
    <col width="14" customWidth="1" min="21" max="21"/>
  </cols>
  <sheetData>
    <row r="1" ht="32" customHeight="1">
      <c r="A1" s="14" t="inlineStr">
        <is>
          <t>TC ID</t>
        </is>
      </c>
      <c r="B1" s="14" t="inlineStr">
        <is>
          <t>Suite</t>
        </is>
      </c>
      <c r="C1" s="14" t="inlineStr">
        <is>
          <t>Feature</t>
        </is>
      </c>
      <c r="D1" s="14" t="inlineStr">
        <is>
          <t>Role</t>
        </is>
      </c>
      <c r="E1" s="14" t="inlineStr">
        <is>
          <t>Precondition</t>
        </is>
      </c>
      <c r="F1" s="14" t="inlineStr">
        <is>
          <t>Test Steps</t>
        </is>
      </c>
      <c r="G1" s="14" t="inlineStr">
        <is>
          <t>Expected Result</t>
        </is>
      </c>
      <c r="H1" s="14" t="inlineStr">
        <is>
          <t>Priority</t>
        </is>
      </c>
      <c r="I1" s="14" t="inlineStr">
        <is>
          <t>SRS Reference</t>
        </is>
      </c>
      <c r="J1" s="14" t="inlineStr">
        <is>
          <t>Requirement IDs</t>
        </is>
      </c>
      <c r="K1" s="14" t="inlineStr">
        <is>
          <t>Known Finding</t>
        </is>
      </c>
      <c r="L1" s="14" t="inlineStr">
        <is>
          <t>Outlook</t>
        </is>
      </c>
      <c r="M1" s="14" t="inlineStr">
        <is>
          <t>30-min</t>
        </is>
      </c>
      <c r="N1" s="14" t="inlineStr">
        <is>
          <t>Status</t>
        </is>
      </c>
      <c r="O1" s="14" t="inlineStr">
        <is>
          <t>Actual Result</t>
        </is>
      </c>
      <c r="P1" s="14" t="inlineStr">
        <is>
          <t>Defect / Finding ID</t>
        </is>
      </c>
      <c r="Q1" s="14" t="inlineStr">
        <is>
          <t>Tester</t>
        </is>
      </c>
      <c r="R1" s="14" t="inlineStr">
        <is>
          <t>Date Executed</t>
        </is>
      </c>
      <c r="S1" s="14" t="inlineStr">
        <is>
          <t>Build / Commit</t>
        </is>
      </c>
      <c r="T1" s="14" t="inlineStr">
        <is>
          <t>Remarks</t>
        </is>
      </c>
      <c r="U1" s="14" t="inlineStr">
        <is>
          <t>Verification Method</t>
        </is>
      </c>
    </row>
    <row r="2">
      <c r="A2" s="11" t="inlineStr">
        <is>
          <t>S-01</t>
        </is>
      </c>
      <c r="B2" s="9" t="inlineStr">
        <is>
          <t>Smoke</t>
        </is>
      </c>
      <c r="C2" s="15" t="inlineStr">
        <is>
          <t>Smoke (end-to-end)</t>
        </is>
      </c>
      <c r="D2" s="15" t="inlineStr">
        <is>
          <t>See steps</t>
        </is>
      </c>
      <c r="E2" s="15" t="inlineStr">
        <is>
          <t>Accounts and dates from §0 of the suite</t>
        </is>
      </c>
      <c r="F2" s="15" t="inlineStr">
        <is>
          <t>In a repo checkout run npm run test:roles and then npm run test:booking-time.</t>
        </is>
      </c>
      <c r="G2" s="15" t="inlineStr">
        <is>
          <t>Output shows roles test passed: 99 checks and booking time test passed: 8 checks.</t>
        </is>
      </c>
      <c r="H2" s="9" t="inlineStr">
        <is>
          <t>P1</t>
        </is>
      </c>
      <c r="I2" s="15" t="inlineStr">
        <is>
          <t>—</t>
        </is>
      </c>
      <c r="J2" s="15" t="inlineStr">
        <is>
          <t>REQ-ADM-001, BR-01</t>
        </is>
      </c>
      <c r="K2" s="9" t="inlineStr"/>
      <c r="L2" s="9" t="inlineStr">
        <is>
          <t>Expected to pass</t>
        </is>
      </c>
      <c r="M2" s="9" t="inlineStr">
        <is>
          <t>Y</t>
        </is>
      </c>
      <c r="N2" s="16" t="inlineStr">
        <is>
          <t>Pass</t>
        </is>
      </c>
      <c r="O2" s="17" t="inlineStr">
        <is>
          <t>roles test passed: 99 checks; booking time test passed: 8 checks</t>
        </is>
      </c>
      <c r="P2" s="17" t="n"/>
      <c r="Q2" s="17" t="inlineStr">
        <is>
          <t>Claude (automated, no account)</t>
        </is>
      </c>
      <c r="R2" s="18" t="n">
        <v>46302</v>
      </c>
      <c r="S2" s="16" t="inlineStr">
        <is>
          <t>Live (Railway main); repo db90eeb</t>
        </is>
      </c>
      <c r="T2" s="17" t="n"/>
      <c r="U2" s="17" t="inlineStr">
        <is>
          <t>Automated test</t>
        </is>
      </c>
    </row>
    <row r="3">
      <c r="A3" s="11" t="inlineStr">
        <is>
          <t>S-02</t>
        </is>
      </c>
      <c r="B3" s="9" t="inlineStr">
        <is>
          <t>Smoke</t>
        </is>
      </c>
      <c r="C3" s="15" t="inlineStr">
        <is>
          <t>Smoke (end-to-end)</t>
        </is>
      </c>
      <c r="D3" s="15" t="inlineStr">
        <is>
          <t>See steps</t>
        </is>
      </c>
      <c r="E3" s="15" t="inlineStr">
        <is>
          <t>Accounts and dates from §0 of the suite</t>
        </is>
      </c>
      <c r="F3" s="15" t="inlineStr">
        <is>
          <t>Signed out, open /. Click header Catering, then Function Rooms, then Delivery.</t>
        </is>
      </c>
      <c r="G3" s="15" t="inlineStr">
        <is>
          <t>Each page renders with no error banner. The header shows Sign In / Log In.</t>
        </is>
      </c>
      <c r="H3" s="9" t="inlineStr">
        <is>
          <t>P1</t>
        </is>
      </c>
      <c r="I3" s="15" t="inlineStr">
        <is>
          <t>—</t>
        </is>
      </c>
      <c r="J3" s="15" t="inlineStr">
        <is>
          <t>UR-CUST</t>
        </is>
      </c>
      <c r="K3" s="9" t="inlineStr"/>
      <c r="L3" s="9" t="inlineStr">
        <is>
          <t>Expected to pass</t>
        </is>
      </c>
      <c r="M3" s="9" t="inlineStr">
        <is>
          <t>N</t>
        </is>
      </c>
      <c r="N3" s="16" t="inlineStr">
        <is>
          <t>Not Run</t>
        </is>
      </c>
      <c r="O3" s="17" t="n"/>
      <c r="P3" s="17" t="n"/>
      <c r="Q3" s="17" t="n"/>
      <c r="R3" s="18" t="n"/>
      <c r="S3" s="16" t="n"/>
      <c r="T3" s="17" t="n"/>
      <c r="U3" s="17" t="n"/>
    </row>
    <row r="4">
      <c r="A4" s="11" t="inlineStr">
        <is>
          <t>S-03</t>
        </is>
      </c>
      <c r="B4" s="9" t="inlineStr">
        <is>
          <t>Smoke</t>
        </is>
      </c>
      <c r="C4" s="15" t="inlineStr">
        <is>
          <t>Smoke (end-to-end)</t>
        </is>
      </c>
      <c r="D4" s="15" t="inlineStr">
        <is>
          <t>See steps</t>
        </is>
      </c>
      <c r="E4" s="15" t="inlineStr">
        <is>
          <t>Accounts and dates from §0 of the suite</t>
        </is>
      </c>
      <c r="F4" s="15" t="inlineStr">
        <is>
          <t>Signed out, go to /operations.</t>
        </is>
      </c>
      <c r="G4" s="15" t="inlineStr">
        <is>
          <t>Redirected to / (no staff UI flashes).</t>
        </is>
      </c>
      <c r="H4" s="9" t="inlineStr">
        <is>
          <t>P1</t>
        </is>
      </c>
      <c r="I4" s="15" t="inlineStr">
        <is>
          <t>—</t>
        </is>
      </c>
      <c r="J4" s="15" t="inlineStr">
        <is>
          <t>REQ-ADM-001</t>
        </is>
      </c>
      <c r="K4" s="9" t="inlineStr"/>
      <c r="L4" s="9" t="inlineStr">
        <is>
          <t>Expected to pass</t>
        </is>
      </c>
      <c r="M4" s="9" t="inlineStr">
        <is>
          <t>Y</t>
        </is>
      </c>
      <c r="N4" s="16" t="inlineStr">
        <is>
          <t>Not Run</t>
        </is>
      </c>
      <c r="O4" s="17" t="n"/>
      <c r="P4" s="17" t="n"/>
      <c r="Q4" s="17" t="n"/>
      <c r="R4" s="18" t="n"/>
      <c r="S4" s="16" t="n"/>
      <c r="T4" s="17" t="n"/>
      <c r="U4" s="17" t="n"/>
    </row>
    <row r="5">
      <c r="A5" s="11" t="inlineStr">
        <is>
          <t>S-04</t>
        </is>
      </c>
      <c r="B5" s="9" t="inlineStr">
        <is>
          <t>Smoke</t>
        </is>
      </c>
      <c r="C5" s="15" t="inlineStr">
        <is>
          <t>Smoke (end-to-end)</t>
        </is>
      </c>
      <c r="D5" s="15" t="inlineStr">
        <is>
          <t>See steps</t>
        </is>
      </c>
      <c r="E5" s="15" t="inlineStr">
        <is>
          <t>Accounts and dates from §0 of the suite</t>
        </is>
      </c>
      <c r="F5" s="15" t="inlineStr">
        <is>
          <t>Signed out, open /delivery/order. Click Buttered Chicken, add Half ×1, click Done · 1 selected, then click Place order · ₱….</t>
        </is>
      </c>
      <c r="G5" s="15" t="inlineStr">
        <is>
          <t>The Sign In modal opens. No order is created.</t>
        </is>
      </c>
      <c r="H5" s="9" t="inlineStr">
        <is>
          <t>P1</t>
        </is>
      </c>
      <c r="I5" s="15" t="inlineStr">
        <is>
          <t>—</t>
        </is>
      </c>
      <c r="J5" s="15" t="inlineStr">
        <is>
          <t>UR-CUST</t>
        </is>
      </c>
      <c r="K5" s="9" t="inlineStr"/>
      <c r="L5" s="9" t="inlineStr">
        <is>
          <t>Expected to pass</t>
        </is>
      </c>
      <c r="M5" s="9" t="inlineStr">
        <is>
          <t>Y</t>
        </is>
      </c>
      <c r="N5" s="16" t="inlineStr">
        <is>
          <t>Not Run</t>
        </is>
      </c>
      <c r="O5" s="17" t="n"/>
      <c r="P5" s="17" t="n"/>
      <c r="Q5" s="17" t="n"/>
      <c r="R5" s="18" t="n"/>
      <c r="S5" s="16" t="n"/>
      <c r="T5" s="17" t="n"/>
      <c r="U5" s="17" t="n"/>
    </row>
    <row r="6">
      <c r="A6" s="11" t="inlineStr">
        <is>
          <t>S-05</t>
        </is>
      </c>
      <c r="B6" s="9" t="inlineStr">
        <is>
          <t>Smoke</t>
        </is>
      </c>
      <c r="C6" s="15" t="inlineStr">
        <is>
          <t>Smoke (end-to-end)</t>
        </is>
      </c>
      <c r="D6" s="15" t="inlineStr">
        <is>
          <t>See steps</t>
        </is>
      </c>
      <c r="E6" s="15" t="inlineStr">
        <is>
          <t>Accounts and dates from §0 of the suite</t>
        </is>
      </c>
      <c r="F6" s="15" t="inlineStr">
        <is>
          <t>In that modal click the Log In tab, enter CUST email and password, and submit.</t>
        </is>
      </c>
      <c r="G6" s="15" t="inlineStr">
        <is>
          <t>The modal closes and you are signed in as Juan dela Cruz. The cart is kept and the delivery details modal opens automatically with the name prefilled. If it doesn't, click Place order again and log it as a P2 defect.</t>
        </is>
      </c>
      <c r="H6" s="9" t="inlineStr">
        <is>
          <t>P1</t>
        </is>
      </c>
      <c r="I6" s="15" t="inlineStr">
        <is>
          <t>—</t>
        </is>
      </c>
      <c r="J6" s="15" t="inlineStr">
        <is>
          <t>UR-CUST</t>
        </is>
      </c>
      <c r="K6" s="9" t="inlineStr"/>
      <c r="L6" s="9" t="inlineStr">
        <is>
          <t>Expected to pass</t>
        </is>
      </c>
      <c r="M6" s="9" t="inlineStr">
        <is>
          <t>Y</t>
        </is>
      </c>
      <c r="N6" s="16" t="inlineStr">
        <is>
          <t>Not Run</t>
        </is>
      </c>
      <c r="O6" s="17" t="n"/>
      <c r="P6" s="17" t="n"/>
      <c r="Q6" s="17" t="n"/>
      <c r="R6" s="18" t="n"/>
      <c r="S6" s="16" t="n"/>
      <c r="T6" s="17" t="n"/>
      <c r="U6" s="17" t="n"/>
    </row>
    <row r="7">
      <c r="A7" s="11" t="inlineStr">
        <is>
          <t>S-06</t>
        </is>
      </c>
      <c r="B7" s="9" t="inlineStr">
        <is>
          <t>Smoke</t>
        </is>
      </c>
      <c r="C7" s="15" t="inlineStr">
        <is>
          <t>Smoke (end-to-end)</t>
        </is>
      </c>
      <c r="D7" s="15" t="inlineStr">
        <is>
          <t>See steps</t>
        </is>
      </c>
      <c r="E7" s="15" t="inlineStr">
        <is>
          <t>Accounts and dates from §0 of the suite</t>
        </is>
      </c>
      <c r="F7" s="15" t="inlineStr">
        <is>
          <t>Enter phone 09171234567 and the valid address. Payment: Cash on delivery. Click Place order.</t>
        </is>
      </c>
      <c r="G7" s="15" t="inlineStr">
        <is>
          <t>The confirmation screen shows the tracking reference CAP-1xxx. Note it as REF-D.</t>
        </is>
      </c>
      <c r="H7" s="9" t="inlineStr">
        <is>
          <t>P1</t>
        </is>
      </c>
      <c r="I7" s="15" t="inlineStr">
        <is>
          <t>—</t>
        </is>
      </c>
      <c r="J7" s="15" t="inlineStr">
        <is>
          <t>REQ-DEL-004, SEQ-DEL</t>
        </is>
      </c>
      <c r="K7" s="9" t="inlineStr"/>
      <c r="L7" s="9" t="inlineStr">
        <is>
          <t>Expected to pass</t>
        </is>
      </c>
      <c r="M7" s="9" t="inlineStr">
        <is>
          <t>Y</t>
        </is>
      </c>
      <c r="N7" s="16" t="inlineStr">
        <is>
          <t>Not Run</t>
        </is>
      </c>
      <c r="O7" s="17" t="n"/>
      <c r="P7" s="17" t="n"/>
      <c r="Q7" s="17" t="n"/>
      <c r="R7" s="18" t="n"/>
      <c r="S7" s="16" t="n"/>
      <c r="T7" s="17" t="n"/>
      <c r="U7" s="17" t="n"/>
    </row>
    <row r="8">
      <c r="A8" s="11" t="inlineStr">
        <is>
          <t>S-07</t>
        </is>
      </c>
      <c r="B8" s="9" t="inlineStr">
        <is>
          <t>Smoke</t>
        </is>
      </c>
      <c r="C8" s="15" t="inlineStr">
        <is>
          <t>Smoke (end-to-end)</t>
        </is>
      </c>
      <c r="D8" s="15" t="inlineStr">
        <is>
          <t>See steps</t>
        </is>
      </c>
      <c r="E8" s="15" t="inlineStr">
        <is>
          <t>Accounts and dates from §0 of the suite</t>
        </is>
      </c>
      <c r="F8" s="15" t="inlineStr">
        <is>
          <t>Go to /catering/buffet. Select Package A, click Proceed →, pick BUF at 12:00 PM (Guests 10), and confirm.</t>
        </is>
      </c>
      <c r="G8" s="15" t="inlineStr">
        <is>
          <t>The success panel shows Booking Reference CAP- followed by 16 characters. Note it as REF-B.</t>
        </is>
      </c>
      <c r="H8" s="9" t="inlineStr">
        <is>
          <t>P1</t>
        </is>
      </c>
      <c r="I8" s="15" t="inlineStr">
        <is>
          <t>—</t>
        </is>
      </c>
      <c r="J8" s="15" t="inlineStr">
        <is>
          <t>UR-CUST, BR-01, BRIEF</t>
        </is>
      </c>
      <c r="K8" s="9" t="inlineStr"/>
      <c r="L8" s="9" t="inlineStr">
        <is>
          <t>Expected to pass</t>
        </is>
      </c>
      <c r="M8" s="9" t="inlineStr">
        <is>
          <t>Y</t>
        </is>
      </c>
      <c r="N8" s="16" t="inlineStr">
        <is>
          <t>Not Run</t>
        </is>
      </c>
      <c r="O8" s="17" t="n"/>
      <c r="P8" s="17" t="n"/>
      <c r="Q8" s="17" t="n"/>
      <c r="R8" s="18" t="n"/>
      <c r="S8" s="16" t="n"/>
      <c r="T8" s="17" t="n"/>
      <c r="U8" s="17" t="n"/>
    </row>
    <row r="9">
      <c r="A9" s="11" t="inlineStr">
        <is>
          <t>S-08</t>
        </is>
      </c>
      <c r="B9" s="9" t="inlineStr">
        <is>
          <t>Smoke</t>
        </is>
      </c>
      <c r="C9" s="15" t="inlineStr">
        <is>
          <t>Smoke (end-to-end)</t>
        </is>
      </c>
      <c r="D9" s="15" t="inlineStr">
        <is>
          <t>See steps</t>
        </is>
      </c>
      <c r="E9" s="15" t="inlineStr">
        <is>
          <t>Accounts and dates from §0 of the suite</t>
        </is>
      </c>
      <c r="F9" s="15" t="inlineStr">
        <is>
          <t>Go to /catering/packed. Add Adobong Manok (defaults to 10 packs), click Proceed, pick BUF at 1:00 PM, and confirm.</t>
        </is>
      </c>
      <c r="G9" s="15" t="inlineStr">
        <is>
          <t>Success with a CAP-… reference. The summary shows 10 packs, subtotal ₱1,200, Delivery fee ₱0, total ₱1,200. (Packed meals carry no fee in the app; delivery orders carry ₱60.)</t>
        </is>
      </c>
      <c r="H9" s="9" t="inlineStr">
        <is>
          <t>P1</t>
        </is>
      </c>
      <c r="I9" s="15" t="inlineStr">
        <is>
          <t>—</t>
        </is>
      </c>
      <c r="J9" s="15" t="inlineStr">
        <is>
          <t>BRIEF</t>
        </is>
      </c>
      <c r="K9" s="9" t="inlineStr"/>
      <c r="L9" s="9" t="inlineStr">
        <is>
          <t>Expected to pass</t>
        </is>
      </c>
      <c r="M9" s="9" t="inlineStr">
        <is>
          <t>N</t>
        </is>
      </c>
      <c r="N9" s="16" t="inlineStr">
        <is>
          <t>Not Run</t>
        </is>
      </c>
      <c r="O9" s="17" t="n"/>
      <c r="P9" s="17" t="n"/>
      <c r="Q9" s="17" t="n"/>
      <c r="R9" s="18" t="n"/>
      <c r="S9" s="16" t="n"/>
      <c r="T9" s="17" t="n"/>
      <c r="U9" s="17" t="n"/>
    </row>
    <row r="10">
      <c r="A10" s="11" t="inlineStr">
        <is>
          <t>S-09</t>
        </is>
      </c>
      <c r="B10" s="9" t="inlineStr">
        <is>
          <t>Smoke</t>
        </is>
      </c>
      <c r="C10" s="15" t="inlineStr">
        <is>
          <t>Smoke (end-to-end)</t>
        </is>
      </c>
      <c r="D10" s="15" t="inlineStr">
        <is>
          <t>See steps</t>
        </is>
      </c>
      <c r="E10" s="15" t="inlineStr">
        <is>
          <t>Accounts and dates from §0 of the suite</t>
        </is>
      </c>
      <c r="F10" s="15" t="inlineStr">
        <is>
          <t>Go to /function-rooms/reserve. Fill Name, 09171234567, email, Guests 20, Birthday Celebration. Click Check Availability →, pick FR at 6:00 PM, and confirm.</t>
        </is>
      </c>
      <c r="G10" s="15" t="inlineStr">
        <is>
          <t>Success with reference REF-F. Slots before D+2 are disabled.</t>
        </is>
      </c>
      <c r="H10" s="9" t="inlineStr">
        <is>
          <t>P1</t>
        </is>
      </c>
      <c r="I10" s="15" t="inlineStr">
        <is>
          <t>—</t>
        </is>
      </c>
      <c r="J10" s="15" t="inlineStr">
        <is>
          <t>REQ-RES-001, BR-01, BR-02</t>
        </is>
      </c>
      <c r="K10" s="9" t="inlineStr"/>
      <c r="L10" s="9" t="inlineStr">
        <is>
          <t>Expected to pass</t>
        </is>
      </c>
      <c r="M10" s="9" t="inlineStr">
        <is>
          <t>Y</t>
        </is>
      </c>
      <c r="N10" s="16" t="inlineStr">
        <is>
          <t>Not Run</t>
        </is>
      </c>
      <c r="O10" s="17" t="n"/>
      <c r="P10" s="17" t="n"/>
      <c r="Q10" s="17" t="n"/>
      <c r="R10" s="18" t="n"/>
      <c r="S10" s="16" t="n"/>
      <c r="T10" s="17" t="n"/>
      <c r="U10" s="17" t="n"/>
    </row>
    <row r="11">
      <c r="A11" s="11" t="inlineStr">
        <is>
          <t>S-10</t>
        </is>
      </c>
      <c r="B11" s="9" t="inlineStr">
        <is>
          <t>Smoke</t>
        </is>
      </c>
      <c r="C11" s="15" t="inlineStr">
        <is>
          <t>Smoke (end-to-end)</t>
        </is>
      </c>
      <c r="D11" s="15" t="inlineStr">
        <is>
          <t>See steps</t>
        </is>
      </c>
      <c r="E11" s="15" t="inlineStr">
        <is>
          <t>Accounts and dates from §0 of the suite</t>
        </is>
      </c>
      <c r="F11" s="15" t="inlineStr">
        <is>
          <t>Open /profile.</t>
        </is>
      </c>
      <c r="G11" s="15" t="inlineStr">
        <is>
          <t>My bookings lists REF-B, the packed booking and REF-F, all Pending. The delivery tracker with REF-D shows Preparing.</t>
        </is>
      </c>
      <c r="H11" s="9" t="inlineStr">
        <is>
          <t>P1</t>
        </is>
      </c>
      <c r="I11" s="15" t="inlineStr">
        <is>
          <t>—</t>
        </is>
      </c>
      <c r="J11" s="15" t="inlineStr">
        <is>
          <t>REQ-DEL-004</t>
        </is>
      </c>
      <c r="K11" s="9" t="inlineStr"/>
      <c r="L11" s="9" t="inlineStr">
        <is>
          <t>Expected to pass</t>
        </is>
      </c>
      <c r="M11" s="9" t="inlineStr">
        <is>
          <t>Y</t>
        </is>
      </c>
      <c r="N11" s="16" t="inlineStr">
        <is>
          <t>Not Run</t>
        </is>
      </c>
      <c r="O11" s="17" t="n"/>
      <c r="P11" s="17" t="n"/>
      <c r="Q11" s="17" t="n"/>
      <c r="R11" s="18" t="n"/>
      <c r="S11" s="16" t="n"/>
      <c r="T11" s="17" t="n"/>
      <c r="U11" s="17" t="n"/>
    </row>
    <row r="12">
      <c r="A12" s="11" t="inlineStr">
        <is>
          <t>S-11</t>
        </is>
      </c>
      <c r="B12" s="9" t="inlineStr">
        <is>
          <t>Smoke</t>
        </is>
      </c>
      <c r="C12" s="15" t="inlineStr">
        <is>
          <t>Smoke (end-to-end)</t>
        </is>
      </c>
      <c r="D12" s="15" t="inlineStr">
        <is>
          <t>See steps</t>
        </is>
      </c>
      <c r="E12" s="15" t="inlineStr">
        <is>
          <t>Accounts and dates from §0 of the suite</t>
        </is>
      </c>
      <c r="F12" s="15" t="inlineStr">
        <is>
          <t>Go to /inquiries. Name Juan dela Cruz, email, Type Catering, Message Do you cater on Sundays?. Click Submit.</t>
        </is>
      </c>
      <c r="G12" s="15" t="inlineStr">
        <is>
          <t>Success message "Thank you for your inquiry." plus an AI reply (or the fallback text).</t>
        </is>
      </c>
      <c r="H12" s="9" t="inlineStr">
        <is>
          <t>P1</t>
        </is>
      </c>
      <c r="I12" s="15" t="inlineStr">
        <is>
          <t>—</t>
        </is>
      </c>
      <c r="J12" s="15" t="inlineStr">
        <is>
          <t>REQ-INQ-001, SEQ-INQ</t>
        </is>
      </c>
      <c r="K12" s="9" t="inlineStr"/>
      <c r="L12" s="9" t="inlineStr">
        <is>
          <t>Expected to pass</t>
        </is>
      </c>
      <c r="M12" s="9" t="inlineStr">
        <is>
          <t>Y</t>
        </is>
      </c>
      <c r="N12" s="16" t="inlineStr">
        <is>
          <t>Not Run</t>
        </is>
      </c>
      <c r="O12" s="17" t="n"/>
      <c r="P12" s="17" t="n"/>
      <c r="Q12" s="17" t="n"/>
      <c r="R12" s="18" t="n"/>
      <c r="S12" s="16" t="n"/>
      <c r="T12" s="17" t="n"/>
      <c r="U12" s="17" t="n"/>
    </row>
    <row r="13">
      <c r="A13" s="11" t="inlineStr">
        <is>
          <t>S-12</t>
        </is>
      </c>
      <c r="B13" s="9" t="inlineStr">
        <is>
          <t>Smoke</t>
        </is>
      </c>
      <c r="C13" s="15" t="inlineStr">
        <is>
          <t>Smoke (end-to-end)</t>
        </is>
      </c>
      <c r="D13" s="15" t="inlineStr">
        <is>
          <t>See steps</t>
        </is>
      </c>
      <c r="E13" s="15" t="inlineStr">
        <is>
          <t>Accounts and dates from §0 of the suite</t>
        </is>
      </c>
      <c r="F13" s="15" t="inlineStr">
        <is>
          <t>Log out (header → logout → confirm). Log in as FOH.</t>
        </is>
      </c>
      <c r="G13" s="15" t="inlineStr">
        <is>
          <t>You land on /operations. Customer nav links are not shown.</t>
        </is>
      </c>
      <c r="H13" s="9" t="inlineStr">
        <is>
          <t>P1</t>
        </is>
      </c>
      <c r="I13" s="15" t="inlineStr">
        <is>
          <t>—</t>
        </is>
      </c>
      <c r="J13" s="15" t="inlineStr">
        <is>
          <t>REQ-ADM-001</t>
        </is>
      </c>
      <c r="K13" s="9" t="inlineStr"/>
      <c r="L13" s="9" t="inlineStr">
        <is>
          <t>Expected to pass</t>
        </is>
      </c>
      <c r="M13" s="9" t="inlineStr">
        <is>
          <t>Y</t>
        </is>
      </c>
      <c r="N13" s="16" t="inlineStr">
        <is>
          <t>Not Run</t>
        </is>
      </c>
      <c r="O13" s="17" t="n"/>
      <c r="P13" s="17" t="n"/>
      <c r="Q13" s="17" t="n"/>
      <c r="R13" s="18" t="n"/>
      <c r="S13" s="16" t="n"/>
      <c r="T13" s="17" t="n"/>
      <c r="U13" s="17" t="n"/>
    </row>
    <row r="14">
      <c r="A14" s="11" t="inlineStr">
        <is>
          <t>S-13</t>
        </is>
      </c>
      <c r="B14" s="9" t="inlineStr">
        <is>
          <t>Smoke</t>
        </is>
      </c>
      <c r="C14" s="15" t="inlineStr">
        <is>
          <t>Smoke (end-to-end)</t>
        </is>
      </c>
      <c r="D14" s="15" t="inlineStr">
        <is>
          <t>See steps</t>
        </is>
      </c>
      <c r="E14" s="15" t="inlineStr">
        <is>
          <t>Accounts and dates from §0 of the suite</t>
        </is>
      </c>
      <c r="F14" s="15" t="inlineStr">
        <is>
          <t>On /operations, find REF-F under Function room bookings. Open it, set Status Confirmed, click Save changes, then open the Timeline tab.</t>
        </is>
      </c>
      <c r="G14" s="15" t="inlineStr">
        <is>
          <t>The row shows Confirmed. The timeline has a new Confirmed entry. Function pending drops by 1.</t>
        </is>
      </c>
      <c r="H14" s="9" t="inlineStr">
        <is>
          <t>P1</t>
        </is>
      </c>
      <c r="I14" s="15" t="inlineStr">
        <is>
          <t>—</t>
        </is>
      </c>
      <c r="J14" s="15" t="inlineStr">
        <is>
          <t>REQ-ADM-002, SEQ-RES</t>
        </is>
      </c>
      <c r="K14" s="9" t="inlineStr"/>
      <c r="L14" s="9" t="inlineStr">
        <is>
          <t>Expected to pass</t>
        </is>
      </c>
      <c r="M14" s="9" t="inlineStr">
        <is>
          <t>Y</t>
        </is>
      </c>
      <c r="N14" s="16" t="inlineStr">
        <is>
          <t>Not Run</t>
        </is>
      </c>
      <c r="O14" s="17" t="n"/>
      <c r="P14" s="17" t="n"/>
      <c r="Q14" s="17" t="n"/>
      <c r="R14" s="18" t="n"/>
      <c r="S14" s="16" t="n"/>
      <c r="T14" s="17" t="n"/>
      <c r="U14" s="17" t="n"/>
    </row>
    <row r="15">
      <c r="A15" s="11" t="inlineStr">
        <is>
          <t>S-14</t>
        </is>
      </c>
      <c r="B15" s="9" t="inlineStr">
        <is>
          <t>Smoke</t>
        </is>
      </c>
      <c r="C15" s="15" t="inlineStr">
        <is>
          <t>Smoke (end-to-end)</t>
        </is>
      </c>
      <c r="D15" s="15" t="inlineStr">
        <is>
          <t>See steps</t>
        </is>
      </c>
      <c r="E15" s="15" t="inlineStr">
        <is>
          <t>Accounts and dates from §0 of the suite</t>
        </is>
      </c>
      <c r="F15" s="15" t="inlineStr">
        <is>
          <t>On /operations, find the S-11 inquiry in the Inquiries panel (wait up to 10 s).</t>
        </is>
      </c>
      <c r="G15" s="15" t="inlineStr">
        <is>
          <t>The inquiry is listed (status Resolved because it was auto-answered; see F-07).</t>
        </is>
      </c>
      <c r="H15" s="9" t="inlineStr">
        <is>
          <t>P1</t>
        </is>
      </c>
      <c r="I15" s="15" t="inlineStr">
        <is>
          <t>—</t>
        </is>
      </c>
      <c r="J15" s="15" t="inlineStr">
        <is>
          <t>REQ-ADM-002</t>
        </is>
      </c>
      <c r="K15" s="9" t="inlineStr">
        <is>
          <t>F-07</t>
        </is>
      </c>
      <c r="L15" s="9" t="inlineStr">
        <is>
          <t>Known deviation</t>
        </is>
      </c>
      <c r="M15" s="9" t="inlineStr">
        <is>
          <t>N</t>
        </is>
      </c>
      <c r="N15" s="16" t="inlineStr">
        <is>
          <t>Not Run</t>
        </is>
      </c>
      <c r="O15" s="17" t="n"/>
      <c r="P15" s="17" t="n"/>
      <c r="Q15" s="17" t="n"/>
      <c r="R15" s="18" t="n"/>
      <c r="S15" s="16" t="n"/>
      <c r="T15" s="17" t="n"/>
      <c r="U15" s="17" t="n"/>
    </row>
    <row r="16">
      <c r="A16" s="11" t="inlineStr">
        <is>
          <t>S-15</t>
        </is>
      </c>
      <c r="B16" s="9" t="inlineStr">
        <is>
          <t>Smoke</t>
        </is>
      </c>
      <c r="C16" s="15" t="inlineStr">
        <is>
          <t>Smoke (end-to-end)</t>
        </is>
      </c>
      <c r="D16" s="15" t="inlineStr">
        <is>
          <t>See steps</t>
        </is>
      </c>
      <c r="E16" s="15" t="inlineStr">
        <is>
          <t>Accounts and dates from §0 of the suite</t>
        </is>
      </c>
      <c r="F16" s="15" t="inlineStr">
        <is>
          <t>Go to /delivery/staff. On REF-D set Assign rider = Jun Reyes and Change status = Ready for pickup.</t>
        </is>
      </c>
      <c r="G16" s="15" t="inlineStr">
        <is>
          <t>Both changes save instantly. The Jun Reyes rider card shows 1 active delivery.</t>
        </is>
      </c>
      <c r="H16" s="9" t="inlineStr">
        <is>
          <t>P1</t>
        </is>
      </c>
      <c r="I16" s="15" t="inlineStr">
        <is>
          <t>—</t>
        </is>
      </c>
      <c r="J16" s="15" t="inlineStr">
        <is>
          <t>REQ-DEL-004</t>
        </is>
      </c>
      <c r="K16" s="9" t="inlineStr"/>
      <c r="L16" s="9" t="inlineStr">
        <is>
          <t>Expected to pass</t>
        </is>
      </c>
      <c r="M16" s="9" t="inlineStr">
        <is>
          <t>Y</t>
        </is>
      </c>
      <c r="N16" s="16" t="inlineStr">
        <is>
          <t>Not Run</t>
        </is>
      </c>
      <c r="O16" s="17" t="n"/>
      <c r="P16" s="17" t="n"/>
      <c r="Q16" s="17" t="n"/>
      <c r="R16" s="18" t="n"/>
      <c r="S16" s="16" t="n"/>
      <c r="T16" s="17" t="n"/>
      <c r="U16" s="17" t="n"/>
    </row>
    <row r="17">
      <c r="A17" s="11" t="inlineStr">
        <is>
          <t>S-16</t>
        </is>
      </c>
      <c r="B17" s="9" t="inlineStr">
        <is>
          <t>Smoke</t>
        </is>
      </c>
      <c r="C17" s="15" t="inlineStr">
        <is>
          <t>Smoke (end-to-end)</t>
        </is>
      </c>
      <c r="D17" s="15" t="inlineStr">
        <is>
          <t>See steps</t>
        </is>
      </c>
      <c r="E17" s="15" t="inlineStr">
        <is>
          <t>Accounts and dates from §0 of the suite</t>
        </is>
      </c>
      <c r="F17" s="15" t="inlineStr">
        <is>
          <t>Go to /inquiry-bot.</t>
        </is>
      </c>
      <c r="G17" s="15" t="inlineStr">
        <is>
          <t>The page loads with the Needs reply filter active, showing a list or "No Messenger inquiries yet."</t>
        </is>
      </c>
      <c r="H17" s="9" t="inlineStr">
        <is>
          <t>P1</t>
        </is>
      </c>
      <c r="I17" s="15" t="inlineStr">
        <is>
          <t>—</t>
        </is>
      </c>
      <c r="J17" s="15" t="inlineStr">
        <is>
          <t>REQ-INQ-002</t>
        </is>
      </c>
      <c r="K17" s="9" t="inlineStr"/>
      <c r="L17" s="9" t="inlineStr">
        <is>
          <t>Expected to pass</t>
        </is>
      </c>
      <c r="M17" s="9" t="inlineStr">
        <is>
          <t>N</t>
        </is>
      </c>
      <c r="N17" s="16" t="inlineStr">
        <is>
          <t>Not Run</t>
        </is>
      </c>
      <c r="O17" s="17" t="n"/>
      <c r="P17" s="17" t="n"/>
      <c r="Q17" s="17" t="n"/>
      <c r="R17" s="18" t="n"/>
      <c r="S17" s="16" t="n"/>
      <c r="T17" s="17" t="n"/>
      <c r="U17" s="17" t="n"/>
    </row>
    <row r="18">
      <c r="A18" s="11" t="inlineStr">
        <is>
          <t>S-17</t>
        </is>
      </c>
      <c r="B18" s="9" t="inlineStr">
        <is>
          <t>Smoke</t>
        </is>
      </c>
      <c r="C18" s="15" t="inlineStr">
        <is>
          <t>Smoke (end-to-end)</t>
        </is>
      </c>
      <c r="D18" s="15" t="inlineStr">
        <is>
          <t>See steps</t>
        </is>
      </c>
      <c r="E18" s="15" t="inlineStr">
        <is>
          <t>Accounts and dates from §0 of the suite</t>
        </is>
      </c>
      <c r="F18" s="15" t="inlineStr">
        <is>
          <t>Log out. Log in as RIDER.</t>
        </is>
      </c>
      <c r="G18" s="15" t="inlineStr">
        <is>
          <t>You land on /delivery/rider. The header shows Jun Reyes. REF-D appears with the Start delivery button.</t>
        </is>
      </c>
      <c r="H18" s="9" t="inlineStr">
        <is>
          <t>P1</t>
        </is>
      </c>
      <c r="I18" s="15" t="inlineStr">
        <is>
          <t>—</t>
        </is>
      </c>
      <c r="J18" s="15" t="inlineStr">
        <is>
          <t>UR-RIDER</t>
        </is>
      </c>
      <c r="K18" s="9" t="inlineStr"/>
      <c r="L18" s="9" t="inlineStr">
        <is>
          <t>Expected to pass</t>
        </is>
      </c>
      <c r="M18" s="9" t="inlineStr">
        <is>
          <t>Y</t>
        </is>
      </c>
      <c r="N18" s="16" t="inlineStr">
        <is>
          <t>Not Run</t>
        </is>
      </c>
      <c r="O18" s="17" t="n"/>
      <c r="P18" s="17" t="n"/>
      <c r="Q18" s="17" t="n"/>
      <c r="R18" s="18" t="n"/>
      <c r="S18" s="16" t="n"/>
      <c r="T18" s="17" t="n"/>
      <c r="U18" s="17" t="n"/>
    </row>
    <row r="19">
      <c r="A19" s="11" t="inlineStr">
        <is>
          <t>S-18</t>
        </is>
      </c>
      <c r="B19" s="9" t="inlineStr">
        <is>
          <t>Smoke</t>
        </is>
      </c>
      <c r="C19" s="15" t="inlineStr">
        <is>
          <t>Smoke (end-to-end)</t>
        </is>
      </c>
      <c r="D19" s="15" t="inlineStr">
        <is>
          <t>See steps</t>
        </is>
      </c>
      <c r="E19" s="15" t="inlineStr">
        <is>
          <t>Accounts and dates from §0 of the suite</t>
        </is>
      </c>
      <c r="F19" s="15" t="inlineStr">
        <is>
          <t>Click Start delivery, then Mark delivered. Then go to /operations.</t>
        </is>
      </c>
      <c r="G19" s="15" t="inlineStr">
        <is>
          <t>Status goes Out for delivery → Delivered. /operations redirects back to /delivery/rider. (The SRS limits riders to setting Delivered; Start delivery is a known deviation → F-25.)</t>
        </is>
      </c>
      <c r="H19" s="9" t="inlineStr">
        <is>
          <t>P1</t>
        </is>
      </c>
      <c r="I19" s="15" t="inlineStr">
        <is>
          <t>—</t>
        </is>
      </c>
      <c r="J19" s="15" t="inlineStr">
        <is>
          <t>UR-RIDER, REQ-ADM-001</t>
        </is>
      </c>
      <c r="K19" s="9" t="inlineStr">
        <is>
          <t>F-25</t>
        </is>
      </c>
      <c r="L19" s="9" t="inlineStr">
        <is>
          <t>Known deviation</t>
        </is>
      </c>
      <c r="M19" s="9" t="inlineStr">
        <is>
          <t>Y</t>
        </is>
      </c>
      <c r="N19" s="16" t="inlineStr">
        <is>
          <t>Not Run</t>
        </is>
      </c>
      <c r="O19" s="17" t="n"/>
      <c r="P19" s="17" t="n"/>
      <c r="Q19" s="17" t="n"/>
      <c r="R19" s="18" t="n"/>
      <c r="S19" s="16" t="n"/>
      <c r="T19" s="17" t="n"/>
      <c r="U19" s="17" t="n"/>
    </row>
    <row r="20">
      <c r="A20" s="11" t="inlineStr">
        <is>
          <t>S-19</t>
        </is>
      </c>
      <c r="B20" s="9" t="inlineStr">
        <is>
          <t>Smoke</t>
        </is>
      </c>
      <c r="C20" s="15" t="inlineStr">
        <is>
          <t>Smoke (end-to-end)</t>
        </is>
      </c>
      <c r="D20" s="15" t="inlineStr">
        <is>
          <t>See steps</t>
        </is>
      </c>
      <c r="E20" s="15" t="inlineStr">
        <is>
          <t>Accounts and dates from §0 of the suite</t>
        </is>
      </c>
      <c r="F20" s="15" t="inlineStr">
        <is>
          <t>Log out. Log in as CUST, open /profile, and search REF-D in the tracker.</t>
        </is>
      </c>
      <c r="G20" s="15" t="inlineStr">
        <is>
          <t>The tracker shows Delivered with all four steps complete.</t>
        </is>
      </c>
      <c r="H20" s="9" t="inlineStr">
        <is>
          <t>P1</t>
        </is>
      </c>
      <c r="I20" s="15" t="inlineStr">
        <is>
          <t>—</t>
        </is>
      </c>
      <c r="J20" s="15" t="inlineStr">
        <is>
          <t>REQ-DEL-004</t>
        </is>
      </c>
      <c r="K20" s="9" t="inlineStr"/>
      <c r="L20" s="9" t="inlineStr">
        <is>
          <t>Expected to pass</t>
        </is>
      </c>
      <c r="M20" s="9" t="inlineStr">
        <is>
          <t>N</t>
        </is>
      </c>
      <c r="N20" s="16" t="inlineStr">
        <is>
          <t>Not Run</t>
        </is>
      </c>
      <c r="O20" s="17" t="n"/>
      <c r="P20" s="17" t="n"/>
      <c r="Q20" s="17" t="n"/>
      <c r="R20" s="18" t="n"/>
      <c r="S20" s="16" t="n"/>
      <c r="T20" s="17" t="n"/>
      <c r="U20" s="17" t="n"/>
    </row>
    <row r="21">
      <c r="A21" s="11" t="inlineStr">
        <is>
          <t>S-20</t>
        </is>
      </c>
      <c r="B21" s="9" t="inlineStr">
        <is>
          <t>Smoke</t>
        </is>
      </c>
      <c r="C21" s="15" t="inlineStr">
        <is>
          <t>Smoke (end-to-end)</t>
        </is>
      </c>
      <c r="D21" s="15" t="inlineStr">
        <is>
          <t>See steps</t>
        </is>
      </c>
      <c r="E21" s="15" t="inlineStr">
        <is>
          <t>Accounts and dates from §0 of the suite</t>
        </is>
      </c>
      <c r="F21" s="15" t="inlineStr">
        <is>
          <t>curl -s -o /dev/null -w '%{http_code}' 'https://capitolrestaurant.up.railway.app/inquiry-bot?hub.mode=subscribe&amp;hub.verify_token=WRONG&amp;hub.challenge=42'</t>
        </is>
      </c>
      <c r="G21" s="15" t="inlineStr">
        <is>
          <t>403</t>
        </is>
      </c>
      <c r="H21" s="9" t="inlineStr">
        <is>
          <t>P1</t>
        </is>
      </c>
      <c r="I21" s="15" t="inlineStr">
        <is>
          <t>—</t>
        </is>
      </c>
      <c r="J21" s="15" t="inlineStr">
        <is>
          <t>REQ-INQ-002, CON-01</t>
        </is>
      </c>
      <c r="K21" s="9" t="inlineStr"/>
      <c r="L21" s="9" t="inlineStr">
        <is>
          <t>Expected to pass</t>
        </is>
      </c>
      <c r="M21" s="9" t="inlineStr">
        <is>
          <t>N</t>
        </is>
      </c>
      <c r="N21" s="16" t="inlineStr">
        <is>
          <t>Pass</t>
        </is>
      </c>
      <c r="O21" s="17" t="inlineStr">
        <is>
          <t>HTTP 403</t>
        </is>
      </c>
      <c r="P21" s="17" t="n"/>
      <c r="Q21" s="17" t="inlineStr">
        <is>
          <t>Claude (automated, no account)</t>
        </is>
      </c>
      <c r="R21" s="18" t="n">
        <v>46302</v>
      </c>
      <c r="S21" s="16" t="inlineStr">
        <is>
          <t>Live (Railway main); repo db90eeb</t>
        </is>
      </c>
      <c r="T21" s="17" t="n"/>
      <c r="U21" s="17" t="inlineStr">
        <is>
          <t>Test</t>
        </is>
      </c>
    </row>
    <row r="22">
      <c r="A22" s="11" t="inlineStr">
        <is>
          <t>AU-01</t>
        </is>
      </c>
      <c r="B22" s="9" t="inlineStr">
        <is>
          <t>Feature</t>
        </is>
      </c>
      <c r="C22" s="15" t="inlineStr">
        <is>
          <t>Auth &amp; access</t>
        </is>
      </c>
      <c r="D22" s="15" t="inlineStr">
        <is>
          <t>Guest</t>
        </is>
      </c>
      <c r="E22" s="15" t="inlineStr">
        <is>
          <t>New email never used</t>
        </is>
      </c>
      <c r="F22" s="15" t="inlineStr">
        <is>
          <t>Header → Sign In / Log In → Sign In tab → enter qa.new+1@&lt;domain&gt; → Email me a magic link → open the email → click the link</t>
        </is>
      </c>
      <c r="G22" s="15" t="inlineStr">
        <is>
          <t>Back on the site, signed in. A profiles row exists with role = customer and display name = email local-part</t>
        </is>
      </c>
      <c r="H22" s="9" t="inlineStr">
        <is>
          <t>P1</t>
        </is>
      </c>
      <c r="I22" s="15" t="inlineStr">
        <is>
          <t>§5.3 Auth, REQ-ADM-001</t>
        </is>
      </c>
      <c r="J22" s="15" t="inlineStr">
        <is>
          <t>REQ-ADM-001, NFR-SEC-02</t>
        </is>
      </c>
      <c r="K22" s="9" t="inlineStr"/>
      <c r="L22" s="9" t="inlineStr">
        <is>
          <t>Expected to pass</t>
        </is>
      </c>
      <c r="M22" s="9" t="inlineStr">
        <is>
          <t>N</t>
        </is>
      </c>
      <c r="N22" s="16" t="inlineStr">
        <is>
          <t>Not Run</t>
        </is>
      </c>
      <c r="O22" s="17" t="n"/>
      <c r="P22" s="17" t="n"/>
      <c r="Q22" s="17" t="n"/>
      <c r="R22" s="18" t="n"/>
      <c r="S22" s="16" t="n"/>
      <c r="T22" s="17" t="n"/>
      <c r="U22" s="17" t="n"/>
    </row>
    <row r="23">
      <c r="A23" s="11" t="inlineStr">
        <is>
          <t>AU-02</t>
        </is>
      </c>
      <c r="B23" s="9" t="inlineStr">
        <is>
          <t>Feature</t>
        </is>
      </c>
      <c r="C23" s="15" t="inlineStr">
        <is>
          <t>Auth &amp; access</t>
        </is>
      </c>
      <c r="D23" s="15" t="inlineStr">
        <is>
          <t>CUST</t>
        </is>
      </c>
      <c r="E23" s="15" t="inlineStr">
        <is>
          <t>—</t>
        </is>
      </c>
      <c r="F23" s="15" t="inlineStr">
        <is>
          <t>Log In tab → correct email + wrong password → submit</t>
        </is>
      </c>
      <c r="G23" s="15" t="inlineStr">
        <is>
          <t>Inline error (Invalid login credentials), modal stays open, not signed in</t>
        </is>
      </c>
      <c r="H23" s="9" t="inlineStr">
        <is>
          <t>P1</t>
        </is>
      </c>
      <c r="I23" s="15" t="inlineStr">
        <is>
          <t>§5.3</t>
        </is>
      </c>
      <c r="J23" s="15" t="inlineStr">
        <is>
          <t>NFR-SEC-02</t>
        </is>
      </c>
      <c r="K23" s="9" t="inlineStr"/>
      <c r="L23" s="9" t="inlineStr">
        <is>
          <t>Expected to pass</t>
        </is>
      </c>
      <c r="M23" s="9" t="inlineStr">
        <is>
          <t>N</t>
        </is>
      </c>
      <c r="N23" s="16" t="inlineStr">
        <is>
          <t>Not Run</t>
        </is>
      </c>
      <c r="O23" s="17" t="n"/>
      <c r="P23" s="17" t="n"/>
      <c r="Q23" s="17" t="n"/>
      <c r="R23" s="18" t="n"/>
      <c r="S23" s="16" t="n"/>
      <c r="T23" s="17" t="n"/>
      <c r="U23" s="17" t="n"/>
    </row>
    <row r="24">
      <c r="A24" s="11" t="inlineStr">
        <is>
          <t>AU-03</t>
        </is>
      </c>
      <c r="B24" s="9" t="inlineStr">
        <is>
          <t>Feature</t>
        </is>
      </c>
      <c r="C24" s="15" t="inlineStr">
        <is>
          <t>Auth &amp; access</t>
        </is>
      </c>
      <c r="D24" s="15" t="inlineStr">
        <is>
          <t>Guest</t>
        </is>
      </c>
      <c r="E24" s="15" t="inlineStr">
        <is>
          <t>Google account</t>
        </is>
      </c>
      <c r="F24" s="15" t="inlineStr">
        <is>
          <t>Sign In tab → Google button → choose account</t>
        </is>
      </c>
      <c r="G24" s="15" t="inlineStr">
        <is>
          <t>Redirected back to the original page, signed in as customer</t>
        </is>
      </c>
      <c r="H24" s="9" t="inlineStr">
        <is>
          <t>P2</t>
        </is>
      </c>
      <c r="I24" s="15" t="inlineStr">
        <is>
          <t>§5.3</t>
        </is>
      </c>
      <c r="J24" s="15" t="inlineStr">
        <is>
          <t>NFR-SEC-02</t>
        </is>
      </c>
      <c r="K24" s="9" t="inlineStr"/>
      <c r="L24" s="9" t="inlineStr">
        <is>
          <t>Expected to pass</t>
        </is>
      </c>
      <c r="M24" s="9" t="inlineStr">
        <is>
          <t>N</t>
        </is>
      </c>
      <c r="N24" s="16" t="inlineStr">
        <is>
          <t>Not Run</t>
        </is>
      </c>
      <c r="O24" s="17" t="n"/>
      <c r="P24" s="17" t="n"/>
      <c r="Q24" s="17" t="n"/>
      <c r="R24" s="18" t="n"/>
      <c r="S24" s="16" t="n"/>
      <c r="T24" s="17" t="n"/>
      <c r="U24" s="17" t="n"/>
    </row>
    <row r="25">
      <c r="A25" s="11" t="inlineStr">
        <is>
          <t>AU-04</t>
        </is>
      </c>
      <c r="B25" s="9" t="inlineStr">
        <is>
          <t>Feature</t>
        </is>
      </c>
      <c r="C25" s="15" t="inlineStr">
        <is>
          <t>Auth &amp; access</t>
        </is>
      </c>
      <c r="D25" s="15" t="inlineStr">
        <is>
          <t>Guest</t>
        </is>
      </c>
      <c r="E25" s="15" t="inlineStr">
        <is>
          <t>—</t>
        </is>
      </c>
      <c r="F25" s="15" t="inlineStr">
        <is>
          <t>Log In tab → blank email → submit. Then email juan@ with any password</t>
        </is>
      </c>
      <c r="G25" s="15" t="inlineStr">
        <is>
          <t>"Enter your email address", then an inline error from Supabase. Not signed in</t>
        </is>
      </c>
      <c r="H25" s="9" t="inlineStr">
        <is>
          <t>P2</t>
        </is>
      </c>
      <c r="I25" s="15" t="inlineStr">
        <is>
          <t>—</t>
        </is>
      </c>
      <c r="J25" s="15" t="inlineStr">
        <is>
          <t>BRIEF</t>
        </is>
      </c>
      <c r="K25" s="9" t="inlineStr"/>
      <c r="L25" s="9" t="inlineStr">
        <is>
          <t>Expected to pass</t>
        </is>
      </c>
      <c r="M25" s="9" t="inlineStr">
        <is>
          <t>N</t>
        </is>
      </c>
      <c r="N25" s="16" t="inlineStr">
        <is>
          <t>Not Run</t>
        </is>
      </c>
      <c r="O25" s="17" t="n"/>
      <c r="P25" s="17" t="n"/>
      <c r="Q25" s="17" t="n"/>
      <c r="R25" s="18" t="n"/>
      <c r="S25" s="16" t="n"/>
      <c r="T25" s="17" t="n"/>
      <c r="U25" s="17" t="n"/>
    </row>
    <row r="26">
      <c r="A26" s="11" t="inlineStr">
        <is>
          <t>AU-05</t>
        </is>
      </c>
      <c r="B26" s="9" t="inlineStr">
        <is>
          <t>Feature</t>
        </is>
      </c>
      <c r="C26" s="15" t="inlineStr">
        <is>
          <t>Auth &amp; access</t>
        </is>
      </c>
      <c r="D26" s="15" t="inlineStr">
        <is>
          <t>FOH</t>
        </is>
      </c>
      <c r="E26" s="15" t="inlineStr">
        <is>
          <t>Signed out</t>
        </is>
      </c>
      <c r="F26" s="15" t="inlineStr">
        <is>
          <t>Log In as FOH from /catering</t>
        </is>
      </c>
      <c r="G26" s="15" t="inlineStr">
        <is>
          <t>Redirected to /operations (role home)</t>
        </is>
      </c>
      <c r="H26" s="9" t="inlineStr">
        <is>
          <t>P1</t>
        </is>
      </c>
      <c r="I26" s="15" t="inlineStr">
        <is>
          <t>REQ-ADM-001</t>
        </is>
      </c>
      <c r="J26" s="15" t="inlineStr">
        <is>
          <t>REQ-ADM-001</t>
        </is>
      </c>
      <c r="K26" s="9" t="inlineStr"/>
      <c r="L26" s="9" t="inlineStr">
        <is>
          <t>Expected to pass</t>
        </is>
      </c>
      <c r="M26" s="9" t="inlineStr">
        <is>
          <t>N</t>
        </is>
      </c>
      <c r="N26" s="16" t="inlineStr">
        <is>
          <t>Not Run</t>
        </is>
      </c>
      <c r="O26" s="17" t="n"/>
      <c r="P26" s="17" t="n"/>
      <c r="Q26" s="17" t="n"/>
      <c r="R26" s="18" t="n"/>
      <c r="S26" s="16" t="n"/>
      <c r="T26" s="17" t="n"/>
      <c r="U26" s="17" t="n"/>
    </row>
    <row r="27">
      <c r="A27" s="11" t="inlineStr">
        <is>
          <t>AU-06</t>
        </is>
      </c>
      <c r="B27" s="9" t="inlineStr">
        <is>
          <t>Feature</t>
        </is>
      </c>
      <c r="C27" s="15" t="inlineStr">
        <is>
          <t>Auth &amp; access</t>
        </is>
      </c>
      <c r="D27" s="15" t="inlineStr">
        <is>
          <t>RIDER</t>
        </is>
      </c>
      <c r="E27" s="15" t="inlineStr">
        <is>
          <t>—</t>
        </is>
      </c>
      <c r="F27" s="15" t="inlineStr">
        <is>
          <t>Log In as RIDER from /</t>
        </is>
      </c>
      <c r="G27" s="15" t="inlineStr">
        <is>
          <t>Redirected to /delivery/rider</t>
        </is>
      </c>
      <c r="H27" s="9" t="inlineStr">
        <is>
          <t>P1</t>
        </is>
      </c>
      <c r="I27" s="15" t="inlineStr">
        <is>
          <t>§2.3 Delivery Rider</t>
        </is>
      </c>
      <c r="J27" s="15" t="inlineStr">
        <is>
          <t>UR-RIDER</t>
        </is>
      </c>
      <c r="K27" s="9" t="inlineStr"/>
      <c r="L27" s="9" t="inlineStr">
        <is>
          <t>Expected to pass</t>
        </is>
      </c>
      <c r="M27" s="9" t="inlineStr">
        <is>
          <t>N</t>
        </is>
      </c>
      <c r="N27" s="16" t="inlineStr">
        <is>
          <t>Not Run</t>
        </is>
      </c>
      <c r="O27" s="17" t="n"/>
      <c r="P27" s="17" t="n"/>
      <c r="Q27" s="17" t="n"/>
      <c r="R27" s="18" t="n"/>
      <c r="S27" s="16" t="n"/>
      <c r="T27" s="17" t="n"/>
      <c r="U27" s="17" t="n"/>
    </row>
    <row r="28">
      <c r="A28" s="11" t="inlineStr">
        <is>
          <t>AU-07</t>
        </is>
      </c>
      <c r="B28" s="9" t="inlineStr">
        <is>
          <t>Feature</t>
        </is>
      </c>
      <c r="C28" s="15" t="inlineStr">
        <is>
          <t>Auth &amp; access</t>
        </is>
      </c>
      <c r="D28" s="15" t="inlineStr">
        <is>
          <t>CUST</t>
        </is>
      </c>
      <c r="E28" s="15" t="inlineStr">
        <is>
          <t>Signed in</t>
        </is>
      </c>
      <c r="F28" s="15" t="inlineStr">
        <is>
          <t>Header → logout icon → Cancel, then logout → confirm</t>
        </is>
      </c>
      <c r="G28" s="15" t="inlineStr">
        <is>
          <t>Cancel keeps the session. Confirm signs out and navigates to /. Visiting /profile then shows "Sign in to view and manage your profile details."</t>
        </is>
      </c>
      <c r="H28" s="9" t="inlineStr">
        <is>
          <t>P2</t>
        </is>
      </c>
      <c r="I28" s="15" t="inlineStr">
        <is>
          <t>—</t>
        </is>
      </c>
      <c r="J28" s="15" t="inlineStr">
        <is>
          <t>BRIEF</t>
        </is>
      </c>
      <c r="K28" s="9" t="inlineStr"/>
      <c r="L28" s="9" t="inlineStr">
        <is>
          <t>Expected to pass</t>
        </is>
      </c>
      <c r="M28" s="9" t="inlineStr">
        <is>
          <t>N</t>
        </is>
      </c>
      <c r="N28" s="16" t="inlineStr">
        <is>
          <t>Not Run</t>
        </is>
      </c>
      <c r="O28" s="17" t="n"/>
      <c r="P28" s="17" t="n"/>
      <c r="Q28" s="17" t="n"/>
      <c r="R28" s="18" t="n"/>
      <c r="S28" s="16" t="n"/>
      <c r="T28" s="17" t="n"/>
      <c r="U28" s="17" t="n"/>
    </row>
    <row r="29">
      <c r="A29" s="11" t="inlineStr">
        <is>
          <t>AU-08</t>
        </is>
      </c>
      <c r="B29" s="9" t="inlineStr">
        <is>
          <t>Feature</t>
        </is>
      </c>
      <c r="C29" s="15" t="inlineStr">
        <is>
          <t>Auth &amp; access</t>
        </is>
      </c>
      <c r="D29" s="15" t="inlineStr">
        <is>
          <t>any</t>
        </is>
      </c>
      <c r="E29" s="15" t="inlineStr">
        <is>
          <t>Signed in</t>
        </is>
      </c>
      <c r="F29" s="15" t="inlineStr">
        <is>
          <t>Hard-refresh (Ctrl+Shift+R) on a guarded page</t>
        </is>
      </c>
      <c r="G29" s="15" t="inlineStr">
        <is>
          <t>Loading account... then the same page. No redirect flicker to /</t>
        </is>
      </c>
      <c r="H29" s="9" t="inlineStr">
        <is>
          <t>P2</t>
        </is>
      </c>
      <c r="I29" s="15" t="inlineStr">
        <is>
          <t>—</t>
        </is>
      </c>
      <c r="J29" s="15" t="inlineStr">
        <is>
          <t>BRIEF</t>
        </is>
      </c>
      <c r="K29" s="9" t="inlineStr"/>
      <c r="L29" s="9" t="inlineStr">
        <is>
          <t>Expected to pass</t>
        </is>
      </c>
      <c r="M29" s="9" t="inlineStr">
        <is>
          <t>N</t>
        </is>
      </c>
      <c r="N29" s="16" t="inlineStr">
        <is>
          <t>Not Run</t>
        </is>
      </c>
      <c r="O29" s="17" t="n"/>
      <c r="P29" s="17" t="n"/>
      <c r="Q29" s="17" t="n"/>
      <c r="R29" s="18" t="n"/>
      <c r="S29" s="16" t="n"/>
      <c r="T29" s="17" t="n"/>
      <c r="U29" s="17" t="n"/>
    </row>
    <row r="30">
      <c r="A30" s="11" t="inlineStr">
        <is>
          <t>AU-09</t>
        </is>
      </c>
      <c r="B30" s="9" t="inlineStr">
        <is>
          <t>Feature</t>
        </is>
      </c>
      <c r="C30" s="15" t="inlineStr">
        <is>
          <t>Auth &amp; access</t>
        </is>
      </c>
      <c r="D30" s="15" t="inlineStr">
        <is>
          <t>Guest</t>
        </is>
      </c>
      <c r="E30" s="15" t="inlineStr">
        <is>
          <t>—</t>
        </is>
      </c>
      <c r="F30" s="15" t="inlineStr">
        <is>
          <t>Self-signup: confirm that metadata cannot grant a staff role (covered by supabase/tests/roles_permissions.sql). Manual alternative: sign up via magic link and read the profiles.role value</t>
        </is>
      </c>
      <c r="G30" s="15" t="inlineStr">
        <is>
          <t>role = customer</t>
        </is>
      </c>
      <c r="H30" s="9" t="inlineStr">
        <is>
          <t>P1</t>
        </is>
      </c>
      <c r="I30" s="15" t="inlineStr">
        <is>
          <t>REQ-ADM-001</t>
        </is>
      </c>
      <c r="J30" s="15" t="inlineStr">
        <is>
          <t>REQ-ADM-001</t>
        </is>
      </c>
      <c r="K30" s="9" t="inlineStr"/>
      <c r="L30" s="9" t="inlineStr">
        <is>
          <t>Expected to pass</t>
        </is>
      </c>
      <c r="M30" s="9" t="inlineStr">
        <is>
          <t>N</t>
        </is>
      </c>
      <c r="N30" s="16" t="inlineStr">
        <is>
          <t>Not Run</t>
        </is>
      </c>
      <c r="O30" s="17" t="n"/>
      <c r="P30" s="17" t="n"/>
      <c r="Q30" s="17" t="n"/>
      <c r="R30" s="18" t="n"/>
      <c r="S30" s="16" t="n"/>
      <c r="T30" s="17" t="n"/>
      <c r="U30" s="17" t="n"/>
    </row>
    <row r="31">
      <c r="A31" s="11" t="inlineStr">
        <is>
          <t>AU-10</t>
        </is>
      </c>
      <c r="B31" s="9" t="inlineStr">
        <is>
          <t>Feature</t>
        </is>
      </c>
      <c r="C31" s="15" t="inlineStr">
        <is>
          <t>Auth &amp; access</t>
        </is>
      </c>
      <c r="D31" s="15" t="inlineStr">
        <is>
          <t>Throwaway user with no profiles row</t>
        </is>
      </c>
      <c r="E31" s="15" t="inlineStr">
        <is>
          <t>Delete the throwaway user's profiles row (an invalid role can't be set because of the check constraint)</t>
        </is>
      </c>
      <c r="F31" s="15" t="inlineStr">
        <is>
          <t>Log in as that user</t>
        </is>
      </c>
      <c r="G31" s="15" t="inlineStr">
        <is>
          <t>"Account access unavailable" page, no data shown</t>
        </is>
      </c>
      <c r="H31" s="9" t="inlineStr">
        <is>
          <t>P2</t>
        </is>
      </c>
      <c r="I31" s="15" t="inlineStr">
        <is>
          <t>REQ-ADM-001</t>
        </is>
      </c>
      <c r="J31" s="15" t="inlineStr">
        <is>
          <t>REQ-ADM-001</t>
        </is>
      </c>
      <c r="K31" s="9" t="inlineStr"/>
      <c r="L31" s="9" t="inlineStr">
        <is>
          <t>Expected to pass</t>
        </is>
      </c>
      <c r="M31" s="9" t="inlineStr">
        <is>
          <t>N</t>
        </is>
      </c>
      <c r="N31" s="16" t="inlineStr">
        <is>
          <t>Not Run</t>
        </is>
      </c>
      <c r="O31" s="17" t="n"/>
      <c r="P31" s="17" t="n"/>
      <c r="Q31" s="17" t="n"/>
      <c r="R31" s="18" t="n"/>
      <c r="S31" s="16" t="n"/>
      <c r="T31" s="17" t="n"/>
      <c r="U31" s="17" t="n"/>
    </row>
    <row r="32">
      <c r="A32" s="11" t="inlineStr">
        <is>
          <t>AU-11</t>
        </is>
      </c>
      <c r="B32" s="9" t="inlineStr">
        <is>
          <t>Feature</t>
        </is>
      </c>
      <c r="C32" s="15" t="inlineStr">
        <is>
          <t>Auth &amp; access</t>
        </is>
      </c>
      <c r="D32" s="15" t="inlineStr">
        <is>
          <t>Guest</t>
        </is>
      </c>
      <c r="E32" s="15" t="inlineStr">
        <is>
          <t>New email never used</t>
        </is>
      </c>
      <c r="F32" s="15" t="inlineStr">
        <is>
          <t>List every self-service way to create an account (Sign In tab: magic link, Google). For each, check whether the account becomes usable only after the email is proven (link clicked / Google-verified). Then in Supabase → Authentication → Users, confirm the new user has email_confirmed_at set</t>
        </is>
      </c>
      <c r="G32" s="15" t="inlineStr">
        <is>
          <t>Every self-signup path verifies the email before a session exists. No path creates a signed-in, unverified account</t>
        </is>
      </c>
      <c r="H32" s="9" t="inlineStr">
        <is>
          <t>P1</t>
        </is>
      </c>
      <c r="I32" s="15" t="inlineStr">
        <is>
          <t>§5.3 (customers must verify via email)</t>
        </is>
      </c>
      <c r="J32" s="15" t="inlineStr">
        <is>
          <t>NFR-SEC-02</t>
        </is>
      </c>
      <c r="K32" s="9" t="inlineStr"/>
      <c r="L32" s="9" t="inlineStr">
        <is>
          <t>Expected to pass</t>
        </is>
      </c>
      <c r="M32" s="9" t="inlineStr">
        <is>
          <t>N</t>
        </is>
      </c>
      <c r="N32" s="16" t="inlineStr">
        <is>
          <t>Not Run</t>
        </is>
      </c>
      <c r="O32" s="17" t="n"/>
      <c r="P32" s="17" t="n"/>
      <c r="Q32" s="17" t="n"/>
      <c r="R32" s="18" t="n"/>
      <c r="S32" s="16" t="n"/>
      <c r="T32" s="17" t="n"/>
      <c r="U32" s="17" t="n"/>
    </row>
    <row r="33">
      <c r="A33" s="11" t="inlineStr">
        <is>
          <t>CT-01</t>
        </is>
      </c>
      <c r="B33" s="9" t="inlineStr">
        <is>
          <t>Feature</t>
        </is>
      </c>
      <c r="C33" s="15" t="inlineStr">
        <is>
          <t>Catering</t>
        </is>
      </c>
      <c r="D33" s="15" t="inlineStr">
        <is>
          <t>Guest</t>
        </is>
      </c>
      <c r="E33" s="15" t="inlineStr">
        <is>
          <t>Signed out</t>
        </is>
      </c>
      <c r="F33" s="15" t="inlineStr">
        <is>
          <t>/catering/buffet → select Package B → Proceed →</t>
        </is>
      </c>
      <c r="G33" s="15" t="inlineStr">
        <is>
          <t>Sign-in modal opens. Calendar does not open</t>
        </is>
      </c>
      <c r="H33" s="9" t="inlineStr">
        <is>
          <t>P1</t>
        </is>
      </c>
      <c r="I33" s="15" t="inlineStr">
        <is>
          <t>§2.3 (sign-in required for booking)</t>
        </is>
      </c>
      <c r="J33" s="15" t="inlineStr">
        <is>
          <t>UR-CUST</t>
        </is>
      </c>
      <c r="K33" s="9" t="inlineStr"/>
      <c r="L33" s="9" t="inlineStr">
        <is>
          <t>Expected to pass</t>
        </is>
      </c>
      <c r="M33" s="9" t="inlineStr">
        <is>
          <t>N</t>
        </is>
      </c>
      <c r="N33" s="16" t="inlineStr">
        <is>
          <t>Not Run</t>
        </is>
      </c>
      <c r="O33" s="17" t="n"/>
      <c r="P33" s="17" t="n"/>
      <c r="Q33" s="17" t="n"/>
      <c r="R33" s="18" t="n"/>
      <c r="S33" s="16" t="n"/>
      <c r="T33" s="17" t="n"/>
      <c r="U33" s="17" t="n"/>
    </row>
    <row r="34">
      <c r="A34" s="11" t="inlineStr">
        <is>
          <t>CT-02</t>
        </is>
      </c>
      <c r="B34" s="9" t="inlineStr">
        <is>
          <t>Feature</t>
        </is>
      </c>
      <c r="C34" s="15" t="inlineStr">
        <is>
          <t>Catering</t>
        </is>
      </c>
      <c r="D34" s="15" t="inlineStr">
        <is>
          <t>CUST</t>
        </is>
      </c>
      <c r="E34" s="15" t="inlineStr">
        <is>
          <t>—</t>
        </is>
      </c>
      <c r="F34" s="15" t="inlineStr">
        <is>
          <t>/catering/buffet without selecting a package</t>
        </is>
      </c>
      <c r="G34" s="15" t="inlineStr">
        <is>
          <t>Proceed → disabled; prompt "Please select a package to continue."</t>
        </is>
      </c>
      <c r="H34" s="9" t="inlineStr">
        <is>
          <t>P2</t>
        </is>
      </c>
      <c r="I34" s="15" t="inlineStr">
        <is>
          <t>—</t>
        </is>
      </c>
      <c r="J34" s="15" t="inlineStr">
        <is>
          <t>BRIEF</t>
        </is>
      </c>
      <c r="K34" s="9" t="inlineStr"/>
      <c r="L34" s="9" t="inlineStr">
        <is>
          <t>Expected to pass</t>
        </is>
      </c>
      <c r="M34" s="9" t="inlineStr">
        <is>
          <t>N</t>
        </is>
      </c>
      <c r="N34" s="16" t="inlineStr">
        <is>
          <t>Not Run</t>
        </is>
      </c>
      <c r="O34" s="17" t="n"/>
      <c r="P34" s="17" t="n"/>
      <c r="Q34" s="17" t="n"/>
      <c r="R34" s="18" t="n"/>
      <c r="S34" s="16" t="n"/>
      <c r="T34" s="17" t="n"/>
      <c r="U34" s="17" t="n"/>
    </row>
    <row r="35">
      <c r="A35" s="11" t="inlineStr">
        <is>
          <t>CT-03</t>
        </is>
      </c>
      <c r="B35" s="9" t="inlineStr">
        <is>
          <t>Feature</t>
        </is>
      </c>
      <c r="C35" s="15" t="inlineStr">
        <is>
          <t>Catering</t>
        </is>
      </c>
      <c r="D35" s="15" t="inlineStr">
        <is>
          <t>CUST</t>
        </is>
      </c>
      <c r="E35" s="15" t="inlineStr">
        <is>
          <t>—</t>
        </is>
      </c>
      <c r="F35" s="15" t="inlineStr">
        <is>
          <t>Buffet → Package A → Proceed → navigate the calendar to the current month</t>
        </is>
      </c>
      <c r="G35" s="15" t="inlineStr">
        <is>
          <t>Today and D+1 are disabled. D+2 is enabled. Note "Reservations must be made at least 2 days in advance."</t>
        </is>
      </c>
      <c r="H35" s="9" t="inlineStr">
        <is>
          <t>P1</t>
        </is>
      </c>
      <c r="I35" s="15" t="inlineStr">
        <is>
          <t>BR Lead Time</t>
        </is>
      </c>
      <c r="J35" s="15" t="inlineStr">
        <is>
          <t>BR-01</t>
        </is>
      </c>
      <c r="K35" s="9" t="inlineStr"/>
      <c r="L35" s="9" t="inlineStr">
        <is>
          <t>Expected to pass</t>
        </is>
      </c>
      <c r="M35" s="9" t="inlineStr">
        <is>
          <t>N</t>
        </is>
      </c>
      <c r="N35" s="16" t="inlineStr">
        <is>
          <t>Not Run</t>
        </is>
      </c>
      <c r="O35" s="17" t="n"/>
      <c r="P35" s="17" t="n"/>
      <c r="Q35" s="17" t="n"/>
      <c r="R35" s="18" t="n"/>
      <c r="S35" s="16" t="n"/>
      <c r="T35" s="17" t="n"/>
      <c r="U35" s="17" t="n"/>
    </row>
    <row r="36">
      <c r="A36" s="11" t="inlineStr">
        <is>
          <t>CT-04</t>
        </is>
      </c>
      <c r="B36" s="9" t="inlineStr">
        <is>
          <t>Feature</t>
        </is>
      </c>
      <c r="C36" s="15" t="inlineStr">
        <is>
          <t>Catering</t>
        </is>
      </c>
      <c r="D36" s="15" t="inlineStr">
        <is>
          <t>CUST</t>
        </is>
      </c>
      <c r="E36" s="15" t="inlineStr">
        <is>
          <t>—</t>
        </is>
      </c>
      <c r="F36" s="15" t="inlineStr">
        <is>
          <t>Buffet → Package A → Proceed → open the time dropdown</t>
        </is>
      </c>
      <c r="G36" s="15" t="inlineStr">
        <is>
          <t>Exactly 22 options, 9:00 AM … 7:30 PM, in 30-min steps. No 8:00 PM</t>
        </is>
      </c>
      <c r="H36" s="9" t="inlineStr">
        <is>
          <t>P1</t>
        </is>
      </c>
      <c r="I36" s="15" t="inlineStr">
        <is>
          <t>— (brief: 09:00–19:30, 30-min slots)</t>
        </is>
      </c>
      <c r="J36" s="15" t="inlineStr">
        <is>
          <t>BRIEF</t>
        </is>
      </c>
      <c r="K36" s="9" t="inlineStr"/>
      <c r="L36" s="9" t="inlineStr">
        <is>
          <t>Expected to pass</t>
        </is>
      </c>
      <c r="M36" s="9" t="inlineStr">
        <is>
          <t>N</t>
        </is>
      </c>
      <c r="N36" s="16" t="inlineStr">
        <is>
          <t>Not Run</t>
        </is>
      </c>
      <c r="O36" s="17" t="n"/>
      <c r="P36" s="17" t="n"/>
      <c r="Q36" s="17" t="n"/>
      <c r="R36" s="18" t="n"/>
      <c r="S36" s="16" t="n"/>
      <c r="T36" s="17" t="n"/>
      <c r="U36" s="17" t="n"/>
    </row>
    <row r="37">
      <c r="A37" s="11" t="inlineStr">
        <is>
          <t>CT-05</t>
        </is>
      </c>
      <c r="B37" s="9" t="inlineStr">
        <is>
          <t>Feature</t>
        </is>
      </c>
      <c r="C37" s="15" t="inlineStr">
        <is>
          <t>Catering</t>
        </is>
      </c>
      <c r="D37" s="15" t="inlineStr">
        <is>
          <t>CUST</t>
        </is>
      </c>
      <c r="E37" s="15" t="inlineStr">
        <is>
          <t>—</t>
        </is>
      </c>
      <c r="F37" s="15" t="inlineStr">
        <is>
          <t>Buffet modal: Guests 9, then 13 → confirm</t>
        </is>
      </c>
      <c r="G37" s="15" t="inlineStr">
        <is>
          <t>Validation error (min. 10, max. 12). Not submitted</t>
        </is>
      </c>
      <c r="H37" s="9" t="inlineStr">
        <is>
          <t>P1</t>
        </is>
      </c>
      <c r="I37" s="15" t="inlineStr">
        <is>
          <t>— (package rule, catalog minPax/maxPax)</t>
        </is>
      </c>
      <c r="J37" s="15" t="inlineStr">
        <is>
          <t>BRIEF</t>
        </is>
      </c>
      <c r="K37" s="9" t="inlineStr"/>
      <c r="L37" s="9" t="inlineStr">
        <is>
          <t>Expected to pass</t>
        </is>
      </c>
      <c r="M37" s="9" t="inlineStr">
        <is>
          <t>N</t>
        </is>
      </c>
      <c r="N37" s="16" t="inlineStr">
        <is>
          <t>Not Run</t>
        </is>
      </c>
      <c r="O37" s="17" t="n"/>
      <c r="P37" s="17" t="n"/>
      <c r="Q37" s="17" t="n"/>
      <c r="R37" s="18" t="n"/>
      <c r="S37" s="16" t="n"/>
      <c r="T37" s="17" t="n"/>
      <c r="U37" s="17" t="n"/>
    </row>
    <row r="38">
      <c r="A38" s="11" t="inlineStr">
        <is>
          <t>CT-06</t>
        </is>
      </c>
      <c r="B38" s="9" t="inlineStr">
        <is>
          <t>Feature</t>
        </is>
      </c>
      <c r="C38" s="15" t="inlineStr">
        <is>
          <t>Catering</t>
        </is>
      </c>
      <c r="D38" s="15" t="inlineStr">
        <is>
          <t>CUST</t>
        </is>
      </c>
      <c r="E38" s="15" t="inlineStr">
        <is>
          <t>—</t>
        </is>
      </c>
      <c r="F38" s="15" t="inlineStr">
        <is>
          <t>Buffet modal: Contact 0917123456 → confirm</t>
        </is>
      </c>
      <c r="G38" s="15" t="inlineStr">
        <is>
          <t>Phone error. Not submitted</t>
        </is>
      </c>
      <c r="H38" s="9" t="inlineStr">
        <is>
          <t>P1</t>
        </is>
      </c>
      <c r="I38" s="15" t="inlineStr">
        <is>
          <t>—</t>
        </is>
      </c>
      <c r="J38" s="15" t="inlineStr">
        <is>
          <t>BRIEF</t>
        </is>
      </c>
      <c r="K38" s="9" t="inlineStr"/>
      <c r="L38" s="9" t="inlineStr">
        <is>
          <t>Expected to pass</t>
        </is>
      </c>
      <c r="M38" s="9" t="inlineStr">
        <is>
          <t>N</t>
        </is>
      </c>
      <c r="N38" s="16" t="inlineStr">
        <is>
          <t>Not Run</t>
        </is>
      </c>
      <c r="O38" s="17" t="n"/>
      <c r="P38" s="17" t="n"/>
      <c r="Q38" s="17" t="n"/>
      <c r="R38" s="18" t="n"/>
      <c r="S38" s="16" t="n"/>
      <c r="T38" s="17" t="n"/>
      <c r="U38" s="17" t="n"/>
    </row>
    <row r="39">
      <c r="A39" s="11" t="inlineStr">
        <is>
          <t>CT-07</t>
        </is>
      </c>
      <c r="B39" s="9" t="inlineStr">
        <is>
          <t>Feature</t>
        </is>
      </c>
      <c r="C39" s="15" t="inlineStr">
        <is>
          <t>Catering</t>
        </is>
      </c>
      <c r="D39" s="15" t="inlineStr">
        <is>
          <t>CUST</t>
        </is>
      </c>
      <c r="E39" s="15" t="inlineStr">
        <is>
          <t>—</t>
        </is>
      </c>
      <c r="F39" s="15" t="inlineStr">
        <is>
          <t>/catering/packed → add Lechon Kawali → click − once (9 packs)</t>
        </is>
      </c>
      <c r="G39" s="15" t="inlineStr">
        <is>
          <t>Error "Each meal type requires at least 10 packs."; Proceed disabled. Pressing + back to 10 re-enables it</t>
        </is>
      </c>
      <c r="H39" s="9" t="inlineStr">
        <is>
          <t>P1</t>
        </is>
      </c>
      <c r="I39" s="15" t="inlineStr">
        <is>
          <t>— (packed-meal guideline)</t>
        </is>
      </c>
      <c r="J39" s="15" t="inlineStr">
        <is>
          <t>BRIEF</t>
        </is>
      </c>
      <c r="K39" s="9" t="inlineStr"/>
      <c r="L39" s="9" t="inlineStr">
        <is>
          <t>Expected to pass</t>
        </is>
      </c>
      <c r="M39" s="9" t="inlineStr">
        <is>
          <t>Y</t>
        </is>
      </c>
      <c r="N39" s="16" t="inlineStr">
        <is>
          <t>Not Run</t>
        </is>
      </c>
      <c r="O39" s="17" t="n"/>
      <c r="P39" s="17" t="n"/>
      <c r="Q39" s="17" t="n"/>
      <c r="R39" s="18" t="n"/>
      <c r="S39" s="16" t="n"/>
      <c r="T39" s="17" t="n"/>
      <c r="U39" s="17" t="n"/>
    </row>
    <row r="40">
      <c r="A40" s="11" t="inlineStr">
        <is>
          <t>CT-08</t>
        </is>
      </c>
      <c r="B40" s="9" t="inlineStr">
        <is>
          <t>Feature</t>
        </is>
      </c>
      <c r="C40" s="15" t="inlineStr">
        <is>
          <t>Catering</t>
        </is>
      </c>
      <c r="D40" s="15" t="inlineStr">
        <is>
          <t>CUST</t>
        </is>
      </c>
      <c r="E40" s="15" t="inlineStr">
        <is>
          <t>—</t>
        </is>
      </c>
      <c r="F40" s="15" t="inlineStr">
        <is>
          <t>Packed: add Adobong Manok and Lechon Kawali at 10 each</t>
        </is>
      </c>
      <c r="G40" s="15" t="inlineStr">
        <is>
          <t>Subtotal ₱2,650 (10 × ₱120 + 10 × ₱145), Delivery fee ₱0, Total ₱2,650. The fee is hard-coded to 0 for packed meals (CateringPacked.tsx:59); the catalog fee of ₱60 applies only to delivery orders. Confirm with the PO that this is intended</t>
        </is>
      </c>
      <c r="H40" s="9" t="inlineStr">
        <is>
          <t>P1</t>
        </is>
      </c>
      <c r="I40" s="15" t="inlineStr">
        <is>
          <t>— (packed-meal pricing)</t>
        </is>
      </c>
      <c r="J40" s="15" t="inlineStr">
        <is>
          <t>BRIEF</t>
        </is>
      </c>
      <c r="K40" s="9" t="inlineStr"/>
      <c r="L40" s="9" t="inlineStr">
        <is>
          <t>Expected to pass</t>
        </is>
      </c>
      <c r="M40" s="9" t="inlineStr">
        <is>
          <t>N</t>
        </is>
      </c>
      <c r="N40" s="16" t="inlineStr">
        <is>
          <t>Not Run</t>
        </is>
      </c>
      <c r="O40" s="17" t="n"/>
      <c r="P40" s="17" t="n"/>
      <c r="Q40" s="17" t="n"/>
      <c r="R40" s="18" t="n"/>
      <c r="S40" s="16" t="n"/>
      <c r="T40" s="17" t="n"/>
      <c r="U40" s="17" t="n"/>
    </row>
    <row r="41">
      <c r="A41" s="11" t="inlineStr">
        <is>
          <t>CT-09</t>
        </is>
      </c>
      <c r="B41" s="9" t="inlineStr">
        <is>
          <t>Feature</t>
        </is>
      </c>
      <c r="C41" s="15" t="inlineStr">
        <is>
          <t>Catering</t>
        </is>
      </c>
      <c r="D41" s="15" t="inlineStr">
        <is>
          <t>CUST + CUST-B</t>
        </is>
      </c>
      <c r="E41" s="15" t="inlineStr">
        <is>
          <t>Both on Buffet modal, BrA and BrB, same date COL</t>
        </is>
      </c>
      <c r="F41" s="15" t="inlineStr">
        <is>
          <t>Both pick 10:00 AM. CUST confirms first, then CUST-B confirms</t>
        </is>
      </c>
      <c r="G41" s="15" t="inlineStr">
        <is>
          <t>CUST succeeds. CUST-B gets "That time was just booked. Choose another available time." and the 10:00 AM option becomes disabled</t>
        </is>
      </c>
      <c r="H41" s="9" t="inlineStr">
        <is>
          <t>P1</t>
        </is>
      </c>
      <c r="I41" s="15" t="inlineStr">
        <is>
          <t>REQ-RES-002 (same mechanism), §4.2.2 step 5</t>
        </is>
      </c>
      <c r="J41" s="15" t="inlineStr">
        <is>
          <t>REQ-RES-002, SEQ-RES</t>
        </is>
      </c>
      <c r="K41" s="9" t="inlineStr"/>
      <c r="L41" s="9" t="inlineStr">
        <is>
          <t>Expected to pass</t>
        </is>
      </c>
      <c r="M41" s="9" t="inlineStr">
        <is>
          <t>N</t>
        </is>
      </c>
      <c r="N41" s="16" t="inlineStr">
        <is>
          <t>Not Run</t>
        </is>
      </c>
      <c r="O41" s="17" t="n"/>
      <c r="P41" s="17" t="n"/>
      <c r="Q41" s="17" t="n"/>
      <c r="R41" s="18" t="n"/>
      <c r="S41" s="16" t="n"/>
      <c r="T41" s="17" t="n"/>
      <c r="U41" s="17" t="n"/>
    </row>
    <row r="42">
      <c r="A42" s="11" t="inlineStr">
        <is>
          <t>CT-10</t>
        </is>
      </c>
      <c r="B42" s="9" t="inlineStr">
        <is>
          <t>Feature</t>
        </is>
      </c>
      <c r="C42" s="15" t="inlineStr">
        <is>
          <t>Catering</t>
        </is>
      </c>
      <c r="D42" s="15" t="inlineStr">
        <is>
          <t>CUST</t>
        </is>
      </c>
      <c r="E42" s="15" t="inlineStr">
        <is>
          <t>A buffet booking exists at BUF 12:00 PM</t>
        </is>
      </c>
      <c r="F42" s="15" t="inlineStr">
        <is>
          <t>Packed booking at BUF 12:00 PM</t>
        </is>
      </c>
      <c r="G42" s="15" t="inlineStr">
        <is>
          <t>Succeeds: buffet and packed have separate slot inventories (kind is part of the unique key)</t>
        </is>
      </c>
      <c r="H42" s="9" t="inlineStr">
        <is>
          <t>P2</t>
        </is>
      </c>
      <c r="I42" s="15" t="inlineStr">
        <is>
          <t>— (confirm the intended behavior with the PO)</t>
        </is>
      </c>
      <c r="J42" s="15" t="inlineStr">
        <is>
          <t>BRIEF</t>
        </is>
      </c>
      <c r="K42" s="9" t="inlineStr"/>
      <c r="L42" s="9" t="inlineStr">
        <is>
          <t>Expected to pass</t>
        </is>
      </c>
      <c r="M42" s="9" t="inlineStr">
        <is>
          <t>N</t>
        </is>
      </c>
      <c r="N42" s="16" t="inlineStr">
        <is>
          <t>Not Run</t>
        </is>
      </c>
      <c r="O42" s="17" t="n"/>
      <c r="P42" s="17" t="n"/>
      <c r="Q42" s="17" t="n"/>
      <c r="R42" s="18" t="n"/>
      <c r="S42" s="16" t="n"/>
      <c r="T42" s="17" t="n"/>
      <c r="U42" s="17" t="n"/>
    </row>
    <row r="43">
      <c r="A43" s="11" t="inlineStr">
        <is>
          <t>CT-11</t>
        </is>
      </c>
      <c r="B43" s="9" t="inlineStr">
        <is>
          <t>Feature</t>
        </is>
      </c>
      <c r="C43" s="15" t="inlineStr">
        <is>
          <t>Catering</t>
        </is>
      </c>
      <c r="D43" s="15" t="inlineStr">
        <is>
          <t>CUST</t>
        </is>
      </c>
      <c r="E43" s="15" t="inlineStr">
        <is>
          <t>—</t>
        </is>
      </c>
      <c r="F43" s="15" t="inlineStr">
        <is>
          <t>Buffet modal → Name &lt;script&gt;alert(1)&lt;/script&gt;. Then, on /function-rooms/reserve, put the same string in Special Requests and book. Open the booking as FOH</t>
        </is>
      </c>
      <c r="G43" s="15" t="inlineStr">
        <is>
          <t>The name is rejected. Special Requests is saved and rendered as plain text in Operations (no alert)</t>
        </is>
      </c>
      <c r="H43" s="9" t="inlineStr">
        <is>
          <t>P1</t>
        </is>
      </c>
      <c r="I43" s="15" t="inlineStr">
        <is>
          <t>§5.2 Input sanitization</t>
        </is>
      </c>
      <c r="J43" s="15" t="inlineStr">
        <is>
          <t>NFR-SAFE-01</t>
        </is>
      </c>
      <c r="K43" s="9" t="inlineStr"/>
      <c r="L43" s="9" t="inlineStr">
        <is>
          <t>Expected to pass</t>
        </is>
      </c>
      <c r="M43" s="9" t="inlineStr">
        <is>
          <t>N</t>
        </is>
      </c>
      <c r="N43" s="16" t="inlineStr">
        <is>
          <t>Not Run</t>
        </is>
      </c>
      <c r="O43" s="17" t="n"/>
      <c r="P43" s="17" t="n"/>
      <c r="Q43" s="17" t="n"/>
      <c r="R43" s="18" t="n"/>
      <c r="S43" s="16" t="n"/>
      <c r="T43" s="17" t="n"/>
      <c r="U43" s="17" t="n"/>
    </row>
    <row r="44">
      <c r="A44" s="11" t="inlineStr">
        <is>
          <t>CT-12</t>
        </is>
      </c>
      <c r="B44" s="9" t="inlineStr">
        <is>
          <t>Feature</t>
        </is>
      </c>
      <c r="C44" s="15" t="inlineStr">
        <is>
          <t>Catering</t>
        </is>
      </c>
      <c r="D44" s="15" t="inlineStr">
        <is>
          <t>CUST</t>
        </is>
      </c>
      <c r="E44" s="15" t="inlineStr">
        <is>
          <t>Booking just created</t>
        </is>
      </c>
      <c r="F44" s="15" t="inlineStr">
        <is>
          <t>Open /profile</t>
        </is>
      </c>
      <c r="G44" s="15" t="inlineStr">
        <is>
          <t>The booking shows package, date/time, Pending and a timeline with Pending</t>
        </is>
      </c>
      <c r="H44" s="9" t="inlineStr">
        <is>
          <t>P1</t>
        </is>
      </c>
      <c r="I44" s="15" t="inlineStr">
        <is>
          <t>—</t>
        </is>
      </c>
      <c r="J44" s="15" t="inlineStr">
        <is>
          <t>BRIEF</t>
        </is>
      </c>
      <c r="K44" s="9" t="inlineStr"/>
      <c r="L44" s="9" t="inlineStr">
        <is>
          <t>Expected to pass</t>
        </is>
      </c>
      <c r="M44" s="9" t="inlineStr">
        <is>
          <t>N</t>
        </is>
      </c>
      <c r="N44" s="16" t="inlineStr">
        <is>
          <t>Not Run</t>
        </is>
      </c>
      <c r="O44" s="17" t="n"/>
      <c r="P44" s="17" t="n"/>
      <c r="Q44" s="17" t="n"/>
      <c r="R44" s="18" t="n"/>
      <c r="S44" s="16" t="n"/>
      <c r="T44" s="17" t="n"/>
      <c r="U44" s="17" t="n"/>
    </row>
    <row r="45">
      <c r="A45" s="11" t="inlineStr">
        <is>
          <t>FR-01</t>
        </is>
      </c>
      <c r="B45" s="9" t="inlineStr">
        <is>
          <t>Feature</t>
        </is>
      </c>
      <c r="C45" s="15" t="inlineStr">
        <is>
          <t>Function rooms</t>
        </is>
      </c>
      <c r="D45" s="15" t="inlineStr">
        <is>
          <t>CUST</t>
        </is>
      </c>
      <c r="E45" s="15" t="inlineStr">
        <is>
          <t>—</t>
        </is>
      </c>
      <c r="F45" s="15" t="inlineStr">
        <is>
          <t>/function-rooms/reserve → leave every field blank → Check Availability →</t>
        </is>
      </c>
      <c r="G45" s="15" t="inlineStr">
        <is>
          <t>Errors on Name, Contact, Email, Guests and Event Type. Calendar does not open</t>
        </is>
      </c>
      <c r="H45" s="9" t="inlineStr">
        <is>
          <t>P1</t>
        </is>
      </c>
      <c r="I45" s="15" t="inlineStr">
        <is>
          <t>§5.4 Usability</t>
        </is>
      </c>
      <c r="J45" s="15" t="inlineStr">
        <is>
          <t>NFR-USE-01</t>
        </is>
      </c>
      <c r="K45" s="9" t="inlineStr"/>
      <c r="L45" s="9" t="inlineStr">
        <is>
          <t>Expected to pass</t>
        </is>
      </c>
      <c r="M45" s="9" t="inlineStr">
        <is>
          <t>N</t>
        </is>
      </c>
      <c r="N45" s="16" t="inlineStr">
        <is>
          <t>Not Run</t>
        </is>
      </c>
      <c r="O45" s="17" t="n"/>
      <c r="P45" s="17" t="n"/>
      <c r="Q45" s="17" t="n"/>
      <c r="R45" s="18" t="n"/>
      <c r="S45" s="16" t="n"/>
      <c r="T45" s="17" t="n"/>
      <c r="U45" s="17" t="n"/>
    </row>
    <row r="46">
      <c r="A46" s="11" t="inlineStr">
        <is>
          <t>FR-02</t>
        </is>
      </c>
      <c r="B46" s="9" t="inlineStr">
        <is>
          <t>Feature</t>
        </is>
      </c>
      <c r="C46" s="15" t="inlineStr">
        <is>
          <t>Function rooms</t>
        </is>
      </c>
      <c r="D46" s="15" t="inlineStr">
        <is>
          <t>CUST</t>
        </is>
      </c>
      <c r="E46" s="15" t="inlineStr">
        <is>
          <t>—</t>
        </is>
      </c>
      <c r="F46" s="15" t="inlineStr">
        <is>
          <t>Guests 9 with all other fields valid → Check Availability</t>
        </is>
      </c>
      <c r="G46" s="15" t="inlineStr">
        <is>
          <t>SRS expects rejection (min 10). The app accepts (min 1) → log F-03</t>
        </is>
      </c>
      <c r="H46" s="9" t="inlineStr">
        <is>
          <t>P1</t>
        </is>
      </c>
      <c r="I46" s="15" t="inlineStr">
        <is>
          <t>BR Party Size</t>
        </is>
      </c>
      <c r="J46" s="15" t="inlineStr">
        <is>
          <t>BR-02</t>
        </is>
      </c>
      <c r="K46" s="9" t="inlineStr">
        <is>
          <t>F-03</t>
        </is>
      </c>
      <c r="L46" s="9" t="inlineStr">
        <is>
          <t>Known deviation</t>
        </is>
      </c>
      <c r="M46" s="9" t="inlineStr">
        <is>
          <t>Y</t>
        </is>
      </c>
      <c r="N46" s="16" t="inlineStr">
        <is>
          <t>Fail</t>
        </is>
      </c>
      <c r="O46" s="17" t="inlineStr">
        <is>
          <t>Deployed validation accepts any whole number ≥ 1 ('Enter a whole-number guest count' only below 1), so 9 guests is accepted</t>
        </is>
      </c>
      <c r="P46" s="17" t="inlineStr">
        <is>
          <t>F-03</t>
        </is>
      </c>
      <c r="Q46" s="17" t="inlineStr">
        <is>
          <t>Claude (inspection)</t>
        </is>
      </c>
      <c r="R46" s="18" t="n">
        <v>46302</v>
      </c>
      <c r="S46" s="16" t="inlineStr">
        <is>
          <t>Live bundle index-Bq1AsZVl.js; source 010694c</t>
        </is>
      </c>
      <c r="T46" s="17" t="inlineStr">
        <is>
          <t>Inspection result; re-confirm in the manual run</t>
        </is>
      </c>
      <c r="U46" s="17" t="inlineStr">
        <is>
          <t>Inspection</t>
        </is>
      </c>
    </row>
    <row r="47">
      <c r="A47" s="11" t="inlineStr">
        <is>
          <t>FR-03</t>
        </is>
      </c>
      <c r="B47" s="9" t="inlineStr">
        <is>
          <t>Feature</t>
        </is>
      </c>
      <c r="C47" s="15" t="inlineStr">
        <is>
          <t>Function rooms</t>
        </is>
      </c>
      <c r="D47" s="15" t="inlineStr">
        <is>
          <t>CUST</t>
        </is>
      </c>
      <c r="E47" s="15" t="inlineStr">
        <is>
          <t>—</t>
        </is>
      </c>
      <c r="F47" s="15" t="inlineStr">
        <is>
          <t>Guests 31, then 50</t>
        </is>
      </c>
      <c r="G47" s="15" t="inlineStr">
        <is>
          <t>SRS expects 50 to be accepted. The app rejects anything above 30 ("This room holds up to 30 guests") → F-03</t>
        </is>
      </c>
      <c r="H47" s="9" t="inlineStr">
        <is>
          <t>P1</t>
        </is>
      </c>
      <c r="I47" s="15" t="inlineStr">
        <is>
          <t>BR Party Size</t>
        </is>
      </c>
      <c r="J47" s="15" t="inlineStr">
        <is>
          <t>BR-02</t>
        </is>
      </c>
      <c r="K47" s="9" t="inlineStr">
        <is>
          <t>F-03</t>
        </is>
      </c>
      <c r="L47" s="9" t="inlineStr">
        <is>
          <t>Known deviation</t>
        </is>
      </c>
      <c r="M47" s="9" t="inlineStr">
        <is>
          <t>Y</t>
        </is>
      </c>
      <c r="N47" s="16" t="inlineStr">
        <is>
          <t>Fail</t>
        </is>
      </c>
      <c r="O47" s="17" t="inlineStr">
        <is>
          <t>Deployed validation rejects &gt; 30 ('This room holds up to 30 guests'), so 31 and 50 are rejected</t>
        </is>
      </c>
      <c r="P47" s="17" t="inlineStr">
        <is>
          <t>F-03</t>
        </is>
      </c>
      <c r="Q47" s="17" t="inlineStr">
        <is>
          <t>Claude (inspection)</t>
        </is>
      </c>
      <c r="R47" s="18" t="n">
        <v>46302</v>
      </c>
      <c r="S47" s="16" t="inlineStr">
        <is>
          <t>Live bundle index-Bq1AsZVl.js; source 010694c</t>
        </is>
      </c>
      <c r="T47" s="17" t="inlineStr">
        <is>
          <t>Inspection result; re-confirm in the manual run</t>
        </is>
      </c>
      <c r="U47" s="17" t="inlineStr">
        <is>
          <t>Inspection</t>
        </is>
      </c>
    </row>
    <row r="48">
      <c r="A48" s="11" t="inlineStr">
        <is>
          <t>FR-04</t>
        </is>
      </c>
      <c r="B48" s="9" t="inlineStr">
        <is>
          <t>Feature</t>
        </is>
      </c>
      <c r="C48" s="15" t="inlineStr">
        <is>
          <t>Function rooms</t>
        </is>
      </c>
      <c r="D48" s="15" t="inlineStr">
        <is>
          <t>CUST</t>
        </is>
      </c>
      <c r="E48" s="15" t="inlineStr">
        <is>
          <t>—</t>
        </is>
      </c>
      <c r="F48" s="15" t="inlineStr">
        <is>
          <t>Guests 10, then 30 (boundaries)</t>
        </is>
      </c>
      <c r="G48" s="15" t="inlineStr">
        <is>
          <t>Both accepted</t>
        </is>
      </c>
      <c r="H48" s="9" t="inlineStr">
        <is>
          <t>P1</t>
        </is>
      </c>
      <c r="I48" s="15" t="inlineStr">
        <is>
          <t>BR Party Size</t>
        </is>
      </c>
      <c r="J48" s="15" t="inlineStr">
        <is>
          <t>BR-02</t>
        </is>
      </c>
      <c r="K48" s="9" t="inlineStr"/>
      <c r="L48" s="9" t="inlineStr">
        <is>
          <t>Expected to pass</t>
        </is>
      </c>
      <c r="M48" s="9" t="inlineStr">
        <is>
          <t>N</t>
        </is>
      </c>
      <c r="N48" s="16" t="inlineStr">
        <is>
          <t>Pass</t>
        </is>
      </c>
      <c r="O48" s="17" t="inlineStr">
        <is>
          <t>10 and 30 fall inside the deployed 1–30 rule and are accepted</t>
        </is>
      </c>
      <c r="P48" s="17" t="n"/>
      <c r="Q48" s="17" t="inlineStr">
        <is>
          <t>Claude (inspection)</t>
        </is>
      </c>
      <c r="R48" s="18" t="n">
        <v>46302</v>
      </c>
      <c r="S48" s="16" t="inlineStr">
        <is>
          <t>Live bundle index-Bq1AsZVl.js; source 010694c</t>
        </is>
      </c>
      <c r="T48" s="17" t="inlineStr">
        <is>
          <t>Inspection result; re-confirm in the manual run</t>
        </is>
      </c>
      <c r="U48" s="17" t="inlineStr">
        <is>
          <t>Inspection</t>
        </is>
      </c>
    </row>
    <row r="49">
      <c r="A49" s="11" t="inlineStr">
        <is>
          <t>FR-05</t>
        </is>
      </c>
      <c r="B49" s="9" t="inlineStr">
        <is>
          <t>Feature</t>
        </is>
      </c>
      <c r="C49" s="15" t="inlineStr">
        <is>
          <t>Function rooms</t>
        </is>
      </c>
      <c r="D49" s="15" t="inlineStr">
        <is>
          <t>CUST</t>
        </is>
      </c>
      <c r="E49" s="15" t="inlineStr">
        <is>
          <t>—</t>
        </is>
      </c>
      <c r="F49" s="15" t="inlineStr">
        <is>
          <t>Open Event Type</t>
        </is>
      </c>
      <c r="G49" s="15" t="inlineStr">
        <is>
          <t>Options: Birthday Celebration, Debut / 18th Birthday, Wedding Reception, Corporate Event, Family Reunion, Christmas Party, Seminar / Conference, Other</t>
        </is>
      </c>
      <c r="H49" s="9" t="inlineStr">
        <is>
          <t>P2</t>
        </is>
      </c>
      <c r="I49" s="15" t="inlineStr">
        <is>
          <t>§5.4</t>
        </is>
      </c>
      <c r="J49" s="15" t="inlineStr">
        <is>
          <t>NFR-USE-01</t>
        </is>
      </c>
      <c r="K49" s="9" t="inlineStr"/>
      <c r="L49" s="9" t="inlineStr">
        <is>
          <t>Expected to pass</t>
        </is>
      </c>
      <c r="M49" s="9" t="inlineStr">
        <is>
          <t>N</t>
        </is>
      </c>
      <c r="N49" s="16" t="inlineStr">
        <is>
          <t>Pass</t>
        </is>
      </c>
      <c r="O49" s="17" t="inlineStr">
        <is>
          <t>Event types match exactly: Birthday Celebration, Debut / 18th Birthday, Wedding Reception, Corporate Event, Family Reunion, Christmas Party, Seminar / Conference, Other</t>
        </is>
      </c>
      <c r="P49" s="17" t="n"/>
      <c r="Q49" s="17" t="inlineStr">
        <is>
          <t>Claude (inspection)</t>
        </is>
      </c>
      <c r="R49" s="18" t="n">
        <v>46302</v>
      </c>
      <c r="S49" s="16" t="inlineStr">
        <is>
          <t>Live bundle index-Bq1AsZVl.js; source 010694c</t>
        </is>
      </c>
      <c r="T49" s="17" t="inlineStr">
        <is>
          <t>Inspection result; re-confirm in the manual run</t>
        </is>
      </c>
      <c r="U49" s="17" t="inlineStr">
        <is>
          <t>Inspection</t>
        </is>
      </c>
    </row>
    <row r="50">
      <c r="A50" s="11" t="inlineStr">
        <is>
          <t>FR-06</t>
        </is>
      </c>
      <c r="B50" s="9" t="inlineStr">
        <is>
          <t>Feature</t>
        </is>
      </c>
      <c r="C50" s="15" t="inlineStr">
        <is>
          <t>Function rooms</t>
        </is>
      </c>
      <c r="D50" s="15" t="inlineStr">
        <is>
          <t>CUST</t>
        </is>
      </c>
      <c r="E50" s="15" t="inlineStr">
        <is>
          <t>—</t>
        </is>
      </c>
      <c r="F50" s="15" t="inlineStr">
        <is>
          <t>Contact +639171234567</t>
        </is>
      </c>
      <c r="G50" s="15" t="inlineStr">
        <is>
          <t>Accepted (CONTACT_REGEX allows +639). Compare with DO-05 (delivery rejects it) → F-19</t>
        </is>
      </c>
      <c r="H50" s="9" t="inlineStr">
        <is>
          <t>P2</t>
        </is>
      </c>
      <c r="I50" s="15" t="inlineStr">
        <is>
          <t>—</t>
        </is>
      </c>
      <c r="J50" s="15" t="inlineStr">
        <is>
          <t>BRIEF</t>
        </is>
      </c>
      <c r="K50" s="9" t="inlineStr">
        <is>
          <t>F-19</t>
        </is>
      </c>
      <c r="L50" s="9" t="inlineStr">
        <is>
          <t>Known deviation</t>
        </is>
      </c>
      <c r="M50" s="9" t="inlineStr">
        <is>
          <t>N</t>
        </is>
      </c>
      <c r="N50" s="16" t="inlineStr">
        <is>
          <t>Not Run</t>
        </is>
      </c>
      <c r="O50" s="17" t="n"/>
      <c r="P50" s="17" t="n"/>
      <c r="Q50" s="17" t="n"/>
      <c r="R50" s="18" t="n"/>
      <c r="S50" s="16" t="n"/>
      <c r="T50" s="17" t="n"/>
      <c r="U50" s="17" t="n"/>
    </row>
    <row r="51">
      <c r="A51" s="11" t="inlineStr">
        <is>
          <t>FR-07</t>
        </is>
      </c>
      <c r="B51" s="9" t="inlineStr">
        <is>
          <t>Feature</t>
        </is>
      </c>
      <c r="C51" s="15" t="inlineStr">
        <is>
          <t>Function rooms</t>
        </is>
      </c>
      <c r="D51" s="15" t="inlineStr">
        <is>
          <t>CUST</t>
        </is>
      </c>
      <c r="E51" s="15" t="inlineStr">
        <is>
          <t>—</t>
        </is>
      </c>
      <c r="F51" s="15" t="inlineStr">
        <is>
          <t>Valid form → calendar → try clicking D+1 and then D+2 at 9:00 AM</t>
        </is>
      </c>
      <c r="G51" s="15" t="inlineStr">
        <is>
          <t>D+1 is not selectable. D+2 is bookable and succeeds</t>
        </is>
      </c>
      <c r="H51" s="9" t="inlineStr">
        <is>
          <t>P1</t>
        </is>
      </c>
      <c r="I51" s="15" t="inlineStr">
        <is>
          <t>BR Lead Time</t>
        </is>
      </c>
      <c r="J51" s="15" t="inlineStr">
        <is>
          <t>BR-01</t>
        </is>
      </c>
      <c r="K51" s="9" t="inlineStr"/>
      <c r="L51" s="9" t="inlineStr">
        <is>
          <t>Expected to pass</t>
        </is>
      </c>
      <c r="M51" s="9" t="inlineStr">
        <is>
          <t>N</t>
        </is>
      </c>
      <c r="N51" s="16" t="inlineStr">
        <is>
          <t>Not Run</t>
        </is>
      </c>
      <c r="O51" s="17" t="n"/>
      <c r="P51" s="17" t="n"/>
      <c r="Q51" s="17" t="n"/>
      <c r="R51" s="18" t="n"/>
      <c r="S51" s="16" t="n"/>
      <c r="T51" s="17" t="n"/>
      <c r="U51" s="17" t="n"/>
    </row>
    <row r="52">
      <c r="A52" s="11" t="inlineStr">
        <is>
          <t>FR-08</t>
        </is>
      </c>
      <c r="B52" s="9" t="inlineStr">
        <is>
          <t>Feature</t>
        </is>
      </c>
      <c r="C52" s="15" t="inlineStr">
        <is>
          <t>Function rooms</t>
        </is>
      </c>
      <c r="D52" s="15" t="inlineStr">
        <is>
          <t>CUST + CUST-B</t>
        </is>
      </c>
      <c r="E52" s="15" t="inlineStr">
        <is>
          <t>Both on the calendar for COL, BrA and BrB</t>
        </is>
      </c>
      <c r="F52" s="15" t="inlineStr">
        <is>
          <t>Both pick 2:00 PM. Confirm in A, then in B within 5 s</t>
        </is>
      </c>
      <c r="G52" s="15" t="inlineStr">
        <is>
          <t>A succeeds. B gets "That time was just booked…". In B, without a refresh, 2:00 PM is greyed out (Realtime)</t>
        </is>
      </c>
      <c r="H52" s="9" t="inlineStr">
        <is>
          <t>P1</t>
        </is>
      </c>
      <c r="I52" s="15" t="inlineStr">
        <is>
          <t>REQ-RES-001, REQ-RES-002, §4.2.2-5</t>
        </is>
      </c>
      <c r="J52" s="15" t="inlineStr">
        <is>
          <t>REQ-RES-001, REQ-RES-002, SEQ-RES</t>
        </is>
      </c>
      <c r="K52" s="9" t="inlineStr"/>
      <c r="L52" s="9" t="inlineStr">
        <is>
          <t>Expected to pass</t>
        </is>
      </c>
      <c r="M52" s="9" t="inlineStr">
        <is>
          <t>N</t>
        </is>
      </c>
      <c r="N52" s="16" t="inlineStr">
        <is>
          <t>Not Run</t>
        </is>
      </c>
      <c r="O52" s="17" t="n"/>
      <c r="P52" s="17" t="n"/>
      <c r="Q52" s="17" t="n"/>
      <c r="R52" s="18" t="n"/>
      <c r="S52" s="16" t="n"/>
      <c r="T52" s="17" t="n"/>
      <c r="U52" s="17" t="n"/>
    </row>
    <row r="53">
      <c r="A53" s="11" t="inlineStr">
        <is>
          <t>FR-09</t>
        </is>
      </c>
      <c r="B53" s="9" t="inlineStr">
        <is>
          <t>Feature</t>
        </is>
      </c>
      <c r="C53" s="15" t="inlineStr">
        <is>
          <t>Function rooms</t>
        </is>
      </c>
      <c r="D53" s="15" t="inlineStr">
        <is>
          <t>CUST</t>
        </is>
      </c>
      <c r="E53" s="15" t="inlineStr">
        <is>
          <t>All 22 slots of a date taken (do it on staging, or reuse the DB-08 script)</t>
        </is>
      </c>
      <c r="F53" s="15" t="inlineStr">
        <is>
          <t>Open the calendar</t>
        </is>
      </c>
      <c r="G53" s="15" t="inlineStr">
        <is>
          <t>That date is shown as reserved/disabled</t>
        </is>
      </c>
      <c r="H53" s="9" t="inlineStr">
        <is>
          <t>P2</t>
        </is>
      </c>
      <c r="I53" s="15" t="inlineStr">
        <is>
          <t>REQ-RES-001</t>
        </is>
      </c>
      <c r="J53" s="15" t="inlineStr">
        <is>
          <t>REQ-RES-001</t>
        </is>
      </c>
      <c r="K53" s="9" t="inlineStr"/>
      <c r="L53" s="9" t="inlineStr">
        <is>
          <t>Expected to pass</t>
        </is>
      </c>
      <c r="M53" s="9" t="inlineStr">
        <is>
          <t>N</t>
        </is>
      </c>
      <c r="N53" s="16" t="inlineStr">
        <is>
          <t>Not Run</t>
        </is>
      </c>
      <c r="O53" s="17" t="n"/>
      <c r="P53" s="17" t="n"/>
      <c r="Q53" s="17" t="n"/>
      <c r="R53" s="18" t="n"/>
      <c r="S53" s="16" t="n"/>
      <c r="T53" s="17" t="n"/>
      <c r="U53" s="17" t="n"/>
    </row>
    <row r="54">
      <c r="A54" s="11" t="inlineStr">
        <is>
          <t>FR-10</t>
        </is>
      </c>
      <c r="B54" s="9" t="inlineStr">
        <is>
          <t>Feature</t>
        </is>
      </c>
      <c r="C54" s="15" t="inlineStr">
        <is>
          <t>Function rooms</t>
        </is>
      </c>
      <c r="D54" s="15" t="inlineStr">
        <is>
          <t>CUST</t>
        </is>
      </c>
      <c r="E54" s="15" t="inlineStr">
        <is>
          <t>—</t>
        </is>
      </c>
      <c r="F54" s="15" t="inlineStr">
        <is>
          <t>Look for the deposit amount or a payment step before confirmation</t>
        </is>
      </c>
      <c r="G54" s="15" t="inlineStr">
        <is>
          <t>SRS: deposit via payment gateway, slot locked for 10 min. App: none; the booking goes straight to Pending → F-04 / F-05</t>
        </is>
      </c>
      <c r="H54" s="9" t="inlineStr">
        <is>
          <t>P1</t>
        </is>
      </c>
      <c r="I54" s="15" t="inlineStr">
        <is>
          <t>REQ-RES-003, REQ-RES-005</t>
        </is>
      </c>
      <c r="J54" s="15" t="inlineStr">
        <is>
          <t>REQ-RES-003, REQ-RES-005</t>
        </is>
      </c>
      <c r="K54" s="9" t="inlineStr">
        <is>
          <t>F-04, F-05</t>
        </is>
      </c>
      <c r="L54" s="9" t="inlineStr">
        <is>
          <t>Known deviation</t>
        </is>
      </c>
      <c r="M54" s="9" t="inlineStr">
        <is>
          <t>N</t>
        </is>
      </c>
      <c r="N54" s="16" t="inlineStr">
        <is>
          <t>Fail</t>
        </is>
      </c>
      <c r="O54" s="17" t="inlineStr">
        <is>
          <t>No deposit or payment step: no payment-gateway code in the deployed bundle; booking is inserted directly as Pending; no slot hold or expiry</t>
        </is>
      </c>
      <c r="P54" s="17" t="inlineStr">
        <is>
          <t>F-04, F-05</t>
        </is>
      </c>
      <c r="Q54" s="17" t="inlineStr">
        <is>
          <t>Claude (inspection)</t>
        </is>
      </c>
      <c r="R54" s="18" t="n">
        <v>46302</v>
      </c>
      <c r="S54" s="16" t="inlineStr">
        <is>
          <t>Live bundle index-Bq1AsZVl.js; source 010694c</t>
        </is>
      </c>
      <c r="T54" s="17" t="inlineStr">
        <is>
          <t>Inspection result; re-confirm in the manual run</t>
        </is>
      </c>
      <c r="U54" s="17" t="inlineStr">
        <is>
          <t>Inspection</t>
        </is>
      </c>
    </row>
    <row r="55">
      <c r="A55" s="11" t="inlineStr">
        <is>
          <t>FR-11</t>
        </is>
      </c>
      <c r="B55" s="9" t="inlineStr">
        <is>
          <t>Feature</t>
        </is>
      </c>
      <c r="C55" s="15" t="inlineStr">
        <is>
          <t>Function rooms</t>
        </is>
      </c>
      <c r="D55" s="15" t="inlineStr">
        <is>
          <t>FOH</t>
        </is>
      </c>
      <c r="E55" s="15" t="inlineStr">
        <is>
          <t>Booking at COL 2:00 PM exists</t>
        </is>
      </c>
      <c r="F55" s="15" t="inlineStr">
        <is>
          <t>/operations → open the booking → Status Cancelled → Save. As CUST-B, retry COL 2:00 PM</t>
        </is>
      </c>
      <c r="G55" s="15" t="inlineStr">
        <is>
          <t>The slot is released and CUST-B's booking succeeds</t>
        </is>
      </c>
      <c r="H55" s="9" t="inlineStr">
        <is>
          <t>P1</t>
        </is>
      </c>
      <c r="I55" s="15" t="inlineStr">
        <is>
          <t>REQ-RES-001, §4.2.2-5</t>
        </is>
      </c>
      <c r="J55" s="15" t="inlineStr">
        <is>
          <t>REQ-RES-001, SEQ-RES</t>
        </is>
      </c>
      <c r="K55" s="9" t="inlineStr"/>
      <c r="L55" s="9" t="inlineStr">
        <is>
          <t>Expected to pass</t>
        </is>
      </c>
      <c r="M55" s="9" t="inlineStr">
        <is>
          <t>N</t>
        </is>
      </c>
      <c r="N55" s="16" t="inlineStr">
        <is>
          <t>Not Run</t>
        </is>
      </c>
      <c r="O55" s="17" t="n"/>
      <c r="P55" s="17" t="n"/>
      <c r="Q55" s="17" t="n"/>
      <c r="R55" s="18" t="n"/>
      <c r="S55" s="16" t="n"/>
      <c r="T55" s="17" t="n"/>
      <c r="U55" s="17" t="n"/>
    </row>
    <row r="56">
      <c r="A56" s="11" t="inlineStr">
        <is>
          <t>FR-12</t>
        </is>
      </c>
      <c r="B56" s="9" t="inlineStr">
        <is>
          <t>Feature</t>
        </is>
      </c>
      <c r="C56" s="15" t="inlineStr">
        <is>
          <t>Function rooms</t>
        </is>
      </c>
      <c r="D56" s="15" t="inlineStr">
        <is>
          <t>CUST</t>
        </is>
      </c>
      <c r="E56" s="15" t="inlineStr">
        <is>
          <t>Booking confirmation email</t>
        </is>
      </c>
      <c r="F56" s="15" t="inlineStr">
        <is>
          <t>Look for a cancellation link in email</t>
        </is>
      </c>
      <c r="G56" s="15" t="inlineStr">
        <is>
          <t>SRS: self-cancel link up to 2 days before. App: no email or link → F-06</t>
        </is>
      </c>
      <c r="H56" s="9" t="inlineStr">
        <is>
          <t>P1</t>
        </is>
      </c>
      <c r="I56" s="15" t="inlineStr">
        <is>
          <t>BR Cancellation, §3.3 SMTP</t>
        </is>
      </c>
      <c r="J56" s="15" t="inlineStr">
        <is>
          <t>BR-04, IF-SW-01</t>
        </is>
      </c>
      <c r="K56" s="9" t="inlineStr">
        <is>
          <t>F-06</t>
        </is>
      </c>
      <c r="L56" s="9" t="inlineStr">
        <is>
          <t>Known deviation</t>
        </is>
      </c>
      <c r="M56" s="9" t="inlineStr">
        <is>
          <t>N</t>
        </is>
      </c>
      <c r="N56" s="16" t="inlineStr">
        <is>
          <t>Fail</t>
        </is>
      </c>
      <c r="O56" s="17" t="inlineStr">
        <is>
          <t>No confirmation email and no cancellation link: no email/SMTP integration in src/ or webhook.js</t>
        </is>
      </c>
      <c r="P56" s="17" t="inlineStr">
        <is>
          <t>F-06</t>
        </is>
      </c>
      <c r="Q56" s="17" t="inlineStr">
        <is>
          <t>Claude (inspection)</t>
        </is>
      </c>
      <c r="R56" s="18" t="n">
        <v>46302</v>
      </c>
      <c r="S56" s="16" t="inlineStr">
        <is>
          <t>Live bundle index-Bq1AsZVl.js; source 010694c</t>
        </is>
      </c>
      <c r="T56" s="17" t="inlineStr">
        <is>
          <t>Inspection result; re-confirm in the manual run</t>
        </is>
      </c>
      <c r="U56" s="17" t="inlineStr">
        <is>
          <t>Inspection</t>
        </is>
      </c>
    </row>
    <row r="57">
      <c r="A57" s="11" t="inlineStr">
        <is>
          <t>FR-13</t>
        </is>
      </c>
      <c r="B57" s="9" t="inlineStr">
        <is>
          <t>Feature</t>
        </is>
      </c>
      <c r="C57" s="15" t="inlineStr">
        <is>
          <t>Function rooms</t>
        </is>
      </c>
      <c r="D57" s="15" t="inlineStr">
        <is>
          <t>FOH</t>
        </is>
      </c>
      <c r="E57" s="15" t="inlineStr">
        <is>
          <t>—</t>
        </is>
      </c>
      <c r="F57" s="15" t="inlineStr">
        <is>
          <t>Look for a way to block out a date (maintenance)</t>
        </is>
      </c>
      <c r="G57" s="15" t="inlineStr">
        <is>
          <t>SRS: manager blockout. App: reserved_dates is read-only in the UI; it can only be changed in the DB → F-14</t>
        </is>
      </c>
      <c r="H57" s="9" t="inlineStr">
        <is>
          <t>P2</t>
        </is>
      </c>
      <c r="I57" s="15" t="inlineStr">
        <is>
          <t>REQ-RES-004</t>
        </is>
      </c>
      <c r="J57" s="15" t="inlineStr">
        <is>
          <t>REQ-RES-004</t>
        </is>
      </c>
      <c r="K57" s="9" t="inlineStr">
        <is>
          <t>F-14</t>
        </is>
      </c>
      <c r="L57" s="9" t="inlineStr">
        <is>
          <t>Known deviation</t>
        </is>
      </c>
      <c r="M57" s="9" t="inlineStr">
        <is>
          <t>N</t>
        </is>
      </c>
      <c r="N57" s="16" t="inlineStr">
        <is>
          <t>Fail</t>
        </is>
      </c>
      <c r="O57" s="17" t="inlineStr">
        <is>
          <t>No blockout UI: reserved_dates is only read (select + realtime), never written, in the deployed bundle</t>
        </is>
      </c>
      <c r="P57" s="17" t="inlineStr">
        <is>
          <t>F-14</t>
        </is>
      </c>
      <c r="Q57" s="17" t="inlineStr">
        <is>
          <t>Claude (inspection)</t>
        </is>
      </c>
      <c r="R57" s="18" t="n">
        <v>46302</v>
      </c>
      <c r="S57" s="16" t="inlineStr">
        <is>
          <t>Live bundle index-Bq1AsZVl.js; source 010694c</t>
        </is>
      </c>
      <c r="T57" s="17" t="inlineStr">
        <is>
          <t>Inspection result; re-confirm in the manual run</t>
        </is>
      </c>
      <c r="U57" s="17" t="inlineStr">
        <is>
          <t>Inspection</t>
        </is>
      </c>
    </row>
    <row r="58">
      <c r="A58" s="11" t="inlineStr">
        <is>
          <t>FR-14</t>
        </is>
      </c>
      <c r="B58" s="9" t="inlineStr">
        <is>
          <t>Feature</t>
        </is>
      </c>
      <c r="C58" s="15" t="inlineStr">
        <is>
          <t>Function rooms</t>
        </is>
      </c>
      <c r="D58" s="15" t="inlineStr">
        <is>
          <t>CUST</t>
        </is>
      </c>
      <c r="E58" s="15" t="inlineStr">
        <is>
          <t>—</t>
        </is>
      </c>
      <c r="F58" s="15" t="inlineStr">
        <is>
          <t>Check the booking form for a privacy consent checkbox</t>
        </is>
      </c>
      <c r="G58" s="15" t="inlineStr">
        <is>
          <t>SRS: explicit consent checkbox. App: none → F-15</t>
        </is>
      </c>
      <c r="H58" s="9" t="inlineStr">
        <is>
          <t>P2</t>
        </is>
      </c>
      <c r="I58" s="15" t="inlineStr">
        <is>
          <t>§5.3 Data Privacy</t>
        </is>
      </c>
      <c r="J58" s="15" t="inlineStr">
        <is>
          <t>NFR-SEC-01</t>
        </is>
      </c>
      <c r="K58" s="9" t="inlineStr">
        <is>
          <t>F-15</t>
        </is>
      </c>
      <c r="L58" s="9" t="inlineStr">
        <is>
          <t>Known deviation</t>
        </is>
      </c>
      <c r="M58" s="9" t="inlineStr">
        <is>
          <t>N</t>
        </is>
      </c>
      <c r="N58" s="16" t="inlineStr">
        <is>
          <t>Fail</t>
        </is>
      </c>
      <c r="O58" s="17" t="inlineStr">
        <is>
          <t>No consent checkbox: the only 'consent' strings in the bundle are Supabase OAuth library code</t>
        </is>
      </c>
      <c r="P58" s="17" t="inlineStr">
        <is>
          <t>F-15</t>
        </is>
      </c>
      <c r="Q58" s="17" t="inlineStr">
        <is>
          <t>Claude (inspection)</t>
        </is>
      </c>
      <c r="R58" s="18" t="n">
        <v>46302</v>
      </c>
      <c r="S58" s="16" t="inlineStr">
        <is>
          <t>Live bundle index-Bq1AsZVl.js; source 010694c</t>
        </is>
      </c>
      <c r="T58" s="17" t="inlineStr">
        <is>
          <t>Inspection result; re-confirm in the manual run</t>
        </is>
      </c>
      <c r="U58" s="17" t="inlineStr">
        <is>
          <t>Inspection</t>
        </is>
      </c>
    </row>
    <row r="59">
      <c r="A59" s="11" t="inlineStr">
        <is>
          <t>FR-15</t>
        </is>
      </c>
      <c r="B59" s="9" t="inlineStr">
        <is>
          <t>Feature</t>
        </is>
      </c>
      <c r="C59" s="15" t="inlineStr">
        <is>
          <t>Function rooms</t>
        </is>
      </c>
      <c r="D59" s="15" t="inlineStr">
        <is>
          <t>CUST + FOH</t>
        </is>
      </c>
      <c r="E59" s="15" t="inlineStr">
        <is>
          <t>—</t>
        </is>
      </c>
      <c r="F59" s="15" t="inlineStr">
        <is>
          <t>Book any slot. Note the status shown on the success panel and in /operations. Look for a duration field on the form or calendar. Repeat FR-08 and read the collision message</t>
        </is>
      </c>
      <c r="G59" s="15" t="inlineStr">
        <is>
          <t>SRS: the customer chooses a duration; the status is Pending Deposit until paid; collisions show "Already Reserved". App: no duration (fixed slot); status Pending; message "That time was just booked…" → F-28</t>
        </is>
      </c>
      <c r="H59" s="9" t="inlineStr">
        <is>
          <t>P2</t>
        </is>
      </c>
      <c r="I59" s="15" t="inlineStr">
        <is>
          <t>§4.2.2-1, -4, -5</t>
        </is>
      </c>
      <c r="J59" s="15" t="inlineStr">
        <is>
          <t>SEQ-RES</t>
        </is>
      </c>
      <c r="K59" s="9" t="inlineStr">
        <is>
          <t>F-28</t>
        </is>
      </c>
      <c r="L59" s="9" t="inlineStr">
        <is>
          <t>Known deviation</t>
        </is>
      </c>
      <c r="M59" s="9" t="inlineStr">
        <is>
          <t>N</t>
        </is>
      </c>
      <c r="N59" s="16" t="inlineStr">
        <is>
          <t>Fail</t>
        </is>
      </c>
      <c r="O59" s="17" t="inlineStr">
        <is>
          <t>No duration field; statuses are Pending/Confirmed/Completed/Cancelled (no 'Pending Deposit'); collision text is 'That time was just booked…' (no 'Already Reserved')</t>
        </is>
      </c>
      <c r="P59" s="17" t="inlineStr">
        <is>
          <t>F-28</t>
        </is>
      </c>
      <c r="Q59" s="17" t="inlineStr">
        <is>
          <t>Claude (inspection)</t>
        </is>
      </c>
      <c r="R59" s="18" t="n">
        <v>46302</v>
      </c>
      <c r="S59" s="16" t="inlineStr">
        <is>
          <t>Live bundle index-Bq1AsZVl.js; source 010694c</t>
        </is>
      </c>
      <c r="T59" s="17" t="inlineStr">
        <is>
          <t>Inspection result; re-confirm in the manual run</t>
        </is>
      </c>
      <c r="U59" s="17" t="inlineStr">
        <is>
          <t>Inspection</t>
        </is>
      </c>
    </row>
    <row r="60">
      <c r="A60" s="11" t="inlineStr">
        <is>
          <t>FR-16</t>
        </is>
      </c>
      <c r="B60" s="9" t="inlineStr">
        <is>
          <t>Feature</t>
        </is>
      </c>
      <c r="C60" s="15" t="inlineStr">
        <is>
          <t>Function rooms</t>
        </is>
      </c>
      <c r="D60" s="15" t="inlineStr">
        <is>
          <t>FOH</t>
        </is>
      </c>
      <c r="E60" s="15" t="inlineStr">
        <is>
          <t>A past or same-day booking exists</t>
        </is>
      </c>
      <c r="F60" s="15" t="inlineStr">
        <is>
          <t>/operations → open the booking → look for a way to mark it Late cancellation or No-show</t>
        </is>
      </c>
      <c r="G60" s="15" t="inlineStr">
        <is>
          <t>SRS: staff can flag late cancellations and no-shows. App: the status list is Pending / Confirmed / Completed / Cancelled; there is no late-cancellation or no-show flag → F-29</t>
        </is>
      </c>
      <c r="H60" s="9" t="inlineStr">
        <is>
          <t>P2</t>
        </is>
      </c>
      <c r="I60" s="15" t="inlineStr">
        <is>
          <t>BR Cancellation</t>
        </is>
      </c>
      <c r="J60" s="15" t="inlineStr">
        <is>
          <t>BR-04</t>
        </is>
      </c>
      <c r="K60" s="9" t="inlineStr">
        <is>
          <t>F-29</t>
        </is>
      </c>
      <c r="L60" s="9" t="inlineStr">
        <is>
          <t>Known deviation</t>
        </is>
      </c>
      <c r="M60" s="9" t="inlineStr">
        <is>
          <t>N</t>
        </is>
      </c>
      <c r="N60" s="16" t="inlineStr">
        <is>
          <t>Fail</t>
        </is>
      </c>
      <c r="O60" s="17" t="inlineStr">
        <is>
          <t>No late-cancellation or no-show value anywhere in the bundle or the status enum</t>
        </is>
      </c>
      <c r="P60" s="17" t="inlineStr">
        <is>
          <t>F-29</t>
        </is>
      </c>
      <c r="Q60" s="17" t="inlineStr">
        <is>
          <t>Claude (inspection)</t>
        </is>
      </c>
      <c r="R60" s="18" t="n">
        <v>46302</v>
      </c>
      <c r="S60" s="16" t="inlineStr">
        <is>
          <t>Live bundle index-Bq1AsZVl.js; source 010694c</t>
        </is>
      </c>
      <c r="T60" s="17" t="inlineStr">
        <is>
          <t>Inspection result; re-confirm in the manual run</t>
        </is>
      </c>
      <c r="U60" s="17" t="inlineStr">
        <is>
          <t>Inspection</t>
        </is>
      </c>
    </row>
    <row r="61">
      <c r="A61" s="11" t="inlineStr">
        <is>
          <t>DO-01</t>
        </is>
      </c>
      <c r="B61" s="9" t="inlineStr">
        <is>
          <t>Feature</t>
        </is>
      </c>
      <c r="C61" s="15" t="inlineStr">
        <is>
          <t>Delivery (customer)</t>
        </is>
      </c>
      <c r="D61" s="15" t="inlineStr">
        <is>
          <t>Guest</t>
        </is>
      </c>
      <c r="E61" s="15" t="inlineStr">
        <is>
          <t>—</t>
        </is>
      </c>
      <c r="F61" s="15" t="inlineStr">
        <is>
          <t>/delivery/order → category chips All, Chicken, Pancit sa Bilao</t>
        </is>
      </c>
      <c r="G61" s="15" t="inlineStr">
        <is>
          <t>Items filter by category. Bilao items appear as one card per group (e.g. Bihon Bilao)</t>
        </is>
      </c>
      <c r="H61" s="9" t="inlineStr">
        <is>
          <t>P1</t>
        </is>
      </c>
      <c r="I61" s="15" t="inlineStr">
        <is>
          <t>REQ-DEL-001</t>
        </is>
      </c>
      <c r="J61" s="15" t="inlineStr">
        <is>
          <t>REQ-DEL-001</t>
        </is>
      </c>
      <c r="K61" s="9" t="inlineStr"/>
      <c r="L61" s="9" t="inlineStr">
        <is>
          <t>Expected to pass</t>
        </is>
      </c>
      <c r="M61" s="9" t="inlineStr">
        <is>
          <t>N</t>
        </is>
      </c>
      <c r="N61" s="16" t="inlineStr">
        <is>
          <t>Not Run</t>
        </is>
      </c>
      <c r="O61" s="17" t="n"/>
      <c r="P61" s="17" t="n"/>
      <c r="Q61" s="17" t="n"/>
      <c r="R61" s="18" t="n"/>
      <c r="S61" s="16" t="n"/>
      <c r="T61" s="17" t="n"/>
      <c r="U61" s="17" t="n"/>
    </row>
    <row r="62">
      <c r="A62" s="11" t="inlineStr">
        <is>
          <t>DO-02</t>
        </is>
      </c>
      <c r="B62" s="9" t="inlineStr">
        <is>
          <t>Feature</t>
        </is>
      </c>
      <c r="C62" s="15" t="inlineStr">
        <is>
          <t>Delivery (customer)</t>
        </is>
      </c>
      <c r="D62" s="15" t="inlineStr">
        <is>
          <t>CUST</t>
        </is>
      </c>
      <c r="E62" s="15" t="inlineStr">
        <is>
          <t>—</t>
        </is>
      </c>
      <c r="F62" s="15" t="inlineStr">
        <is>
          <t>Click Bihon Bilao → variant modal → add XS (3–5 pax) ×1 and Large (18–20 pax) ×2 → Done · 3 selected</t>
        </is>
      </c>
      <c r="G62" s="15" t="inlineStr">
        <is>
          <t>Cart has 2 lines: ₱430 ×1 and ₱950 ×2. Subtotal ₱2,330 + ₱60 fee = ₱2,390</t>
        </is>
      </c>
      <c r="H62" s="9" t="inlineStr">
        <is>
          <t>P1</t>
        </is>
      </c>
      <c r="I62" s="15" t="inlineStr">
        <is>
          <t>REQ-DEL-002</t>
        </is>
      </c>
      <c r="J62" s="15" t="inlineStr">
        <is>
          <t>REQ-DEL-002</t>
        </is>
      </c>
      <c r="K62" s="9" t="inlineStr"/>
      <c r="L62" s="9" t="inlineStr">
        <is>
          <t>Expected to pass</t>
        </is>
      </c>
      <c r="M62" s="9" t="inlineStr">
        <is>
          <t>N</t>
        </is>
      </c>
      <c r="N62" s="16" t="inlineStr">
        <is>
          <t>Not Run</t>
        </is>
      </c>
      <c r="O62" s="17" t="n"/>
      <c r="P62" s="17" t="n"/>
      <c r="Q62" s="17" t="n"/>
      <c r="R62" s="18" t="n"/>
      <c r="S62" s="16" t="n"/>
      <c r="T62" s="17" t="n"/>
      <c r="U62" s="17" t="n"/>
    </row>
    <row r="63">
      <c r="A63" s="11" t="inlineStr">
        <is>
          <t>DO-03</t>
        </is>
      </c>
      <c r="B63" s="9" t="inlineStr">
        <is>
          <t>Feature</t>
        </is>
      </c>
      <c r="C63" s="15" t="inlineStr">
        <is>
          <t>Delivery (customer)</t>
        </is>
      </c>
      <c r="D63" s="15" t="inlineStr">
        <is>
          <t>CUST</t>
        </is>
      </c>
      <c r="E63" s="15" t="inlineStr">
        <is>
          <t>—</t>
        </is>
      </c>
      <c r="F63" s="15" t="inlineStr">
        <is>
          <t>Fried Chicken → Half / Whole picker</t>
        </is>
      </c>
      <c r="G63" s="15" t="inlineStr">
        <is>
          <t>Both variants are listed with their own prices. Done is disabled until quantity ≥ 1</t>
        </is>
      </c>
      <c r="H63" s="9" t="inlineStr">
        <is>
          <t>P2</t>
        </is>
      </c>
      <c r="I63" s="15" t="inlineStr">
        <is>
          <t>REQ-DEL-001</t>
        </is>
      </c>
      <c r="J63" s="15" t="inlineStr">
        <is>
          <t>REQ-DEL-001</t>
        </is>
      </c>
      <c r="K63" s="9" t="inlineStr"/>
      <c r="L63" s="9" t="inlineStr">
        <is>
          <t>Expected to pass</t>
        </is>
      </c>
      <c r="M63" s="9" t="inlineStr">
        <is>
          <t>N</t>
        </is>
      </c>
      <c r="N63" s="16" t="inlineStr">
        <is>
          <t>Not Run</t>
        </is>
      </c>
      <c r="O63" s="17" t="n"/>
      <c r="P63" s="17" t="n"/>
      <c r="Q63" s="17" t="n"/>
      <c r="R63" s="18" t="n"/>
      <c r="S63" s="16" t="n"/>
      <c r="T63" s="17" t="n"/>
      <c r="U63" s="17" t="n"/>
    </row>
    <row r="64">
      <c r="A64" s="11" t="inlineStr">
        <is>
          <t>DO-04</t>
        </is>
      </c>
      <c r="B64" s="9" t="inlineStr">
        <is>
          <t>Feature</t>
        </is>
      </c>
      <c r="C64" s="15" t="inlineStr">
        <is>
          <t>Delivery (customer)</t>
        </is>
      </c>
      <c r="D64" s="15" t="inlineStr">
        <is>
          <t>CUST</t>
        </is>
      </c>
      <c r="E64" s="15" t="inlineStr">
        <is>
          <t>—</t>
        </is>
      </c>
      <c r="F64" s="15" t="inlineStr">
        <is>
          <t>Increase one item up to the max</t>
        </is>
      </c>
      <c r="G64" s="15" t="inlineStr">
        <is>
          <t>+ disables at 20 (MAX_QUANTITY_PER_ITEM)</t>
        </is>
      </c>
      <c r="H64" s="9" t="inlineStr">
        <is>
          <t>P2</t>
        </is>
      </c>
      <c r="I64" s="15" t="inlineStr">
        <is>
          <t>REQ-DEL-002</t>
        </is>
      </c>
      <c r="J64" s="15" t="inlineStr">
        <is>
          <t>REQ-DEL-002</t>
        </is>
      </c>
      <c r="K64" s="9" t="inlineStr"/>
      <c r="L64" s="9" t="inlineStr">
        <is>
          <t>Expected to pass</t>
        </is>
      </c>
      <c r="M64" s="9" t="inlineStr">
        <is>
          <t>N</t>
        </is>
      </c>
      <c r="N64" s="16" t="inlineStr">
        <is>
          <t>Not Run</t>
        </is>
      </c>
      <c r="O64" s="17" t="n"/>
      <c r="P64" s="17" t="n"/>
      <c r="Q64" s="17" t="n"/>
      <c r="R64" s="18" t="n"/>
      <c r="S64" s="16" t="n"/>
      <c r="T64" s="17" t="n"/>
      <c r="U64" s="17" t="n"/>
    </row>
    <row r="65">
      <c r="A65" s="11" t="inlineStr">
        <is>
          <t>DO-05</t>
        </is>
      </c>
      <c r="B65" s="9" t="inlineStr">
        <is>
          <t>Feature</t>
        </is>
      </c>
      <c r="C65" s="15" t="inlineStr">
        <is>
          <t>Delivery (customer)</t>
        </is>
      </c>
      <c r="D65" s="15" t="inlineStr">
        <is>
          <t>CUST</t>
        </is>
      </c>
      <c r="E65" s="15" t="inlineStr">
        <is>
          <t>Cart not empty</t>
        </is>
      </c>
      <c r="F65" s="15" t="inlineStr">
        <is>
          <t>Details modal: phone 0917123456, then 08171234567, then +639171234567</t>
        </is>
      </c>
      <c r="G65" s="15" t="inlineStr">
        <is>
          <t>Each one is rejected with "Enter an 11-digit number starting with 09"</t>
        </is>
      </c>
      <c r="H65" s="9" t="inlineStr">
        <is>
          <t>P1</t>
        </is>
      </c>
      <c r="I65" s="15" t="inlineStr">
        <is>
          <t>—</t>
        </is>
      </c>
      <c r="J65" s="15" t="inlineStr">
        <is>
          <t>BRIEF</t>
        </is>
      </c>
      <c r="K65" s="9" t="inlineStr"/>
      <c r="L65" s="9" t="inlineStr">
        <is>
          <t>Expected to pass</t>
        </is>
      </c>
      <c r="M65" s="9" t="inlineStr">
        <is>
          <t>Y</t>
        </is>
      </c>
      <c r="N65" s="16" t="inlineStr">
        <is>
          <t>Not Run</t>
        </is>
      </c>
      <c r="O65" s="17" t="n"/>
      <c r="P65" s="17" t="n"/>
      <c r="Q65" s="17" t="n"/>
      <c r="R65" s="18" t="n"/>
      <c r="S65" s="16" t="n"/>
      <c r="T65" s="17" t="n"/>
      <c r="U65" s="17" t="n"/>
    </row>
    <row r="66">
      <c r="A66" s="11" t="inlineStr">
        <is>
          <t>DO-06</t>
        </is>
      </c>
      <c r="B66" s="9" t="inlineStr">
        <is>
          <t>Feature</t>
        </is>
      </c>
      <c r="C66" s="15" t="inlineStr">
        <is>
          <t>Delivery (customer)</t>
        </is>
      </c>
      <c r="D66" s="15" t="inlineStr">
        <is>
          <t>CUST</t>
        </is>
      </c>
      <c r="E66" s="15" t="inlineStr">
        <is>
          <t>—</t>
        </is>
      </c>
      <c r="F66" s="15" t="inlineStr">
        <is>
          <t>Details: address "   "</t>
        </is>
      </c>
      <c r="G66" s="15" t="inlineStr">
        <is>
          <t>"Delivery address is required"</t>
        </is>
      </c>
      <c r="H66" s="9" t="inlineStr">
        <is>
          <t>P1</t>
        </is>
      </c>
      <c r="I66" s="15" t="inlineStr">
        <is>
          <t>§4.3.2-2</t>
        </is>
      </c>
      <c r="J66" s="15" t="inlineStr">
        <is>
          <t>SEQ-DEL</t>
        </is>
      </c>
      <c r="K66" s="9" t="inlineStr"/>
      <c r="L66" s="9" t="inlineStr">
        <is>
          <t>Expected to pass</t>
        </is>
      </c>
      <c r="M66" s="9" t="inlineStr">
        <is>
          <t>N</t>
        </is>
      </c>
      <c r="N66" s="16" t="inlineStr">
        <is>
          <t>Not Run</t>
        </is>
      </c>
      <c r="O66" s="17" t="n"/>
      <c r="P66" s="17" t="n"/>
      <c r="Q66" s="17" t="n"/>
      <c r="R66" s="18" t="n"/>
      <c r="S66" s="16" t="n"/>
      <c r="T66" s="17" t="n"/>
      <c r="U66" s="17" t="n"/>
    </row>
    <row r="67">
      <c r="A67" s="11" t="inlineStr">
        <is>
          <t>DO-07</t>
        </is>
      </c>
      <c r="B67" s="9" t="inlineStr">
        <is>
          <t>Feature</t>
        </is>
      </c>
      <c r="C67" s="15" t="inlineStr">
        <is>
          <t>Delivery (customer)</t>
        </is>
      </c>
      <c r="D67" s="15" t="inlineStr">
        <is>
          <t>CUST</t>
        </is>
      </c>
      <c r="E67" s="15" t="inlineStr">
        <is>
          <t>Cart empty</t>
        </is>
      </c>
      <c r="F67" s="15" t="inlineStr">
        <is>
          <t>Click Place order</t>
        </is>
      </c>
      <c r="G67" s="15" t="inlineStr">
        <is>
          <t>"Select at least one item to order"; no modal</t>
        </is>
      </c>
      <c r="H67" s="9" t="inlineStr">
        <is>
          <t>P2</t>
        </is>
      </c>
      <c r="I67" s="15" t="inlineStr">
        <is>
          <t>—</t>
        </is>
      </c>
      <c r="J67" s="15" t="inlineStr">
        <is>
          <t>BRIEF</t>
        </is>
      </c>
      <c r="K67" s="9" t="inlineStr"/>
      <c r="L67" s="9" t="inlineStr">
        <is>
          <t>Expected to pass</t>
        </is>
      </c>
      <c r="M67" s="9" t="inlineStr">
        <is>
          <t>N</t>
        </is>
      </c>
      <c r="N67" s="16" t="inlineStr">
        <is>
          <t>Not Run</t>
        </is>
      </c>
      <c r="O67" s="17" t="n"/>
      <c r="P67" s="17" t="n"/>
      <c r="Q67" s="17" t="n"/>
      <c r="R67" s="18" t="n"/>
      <c r="S67" s="16" t="n"/>
      <c r="T67" s="17" t="n"/>
      <c r="U67" s="17" t="n"/>
    </row>
    <row r="68">
      <c r="A68" s="11" t="inlineStr">
        <is>
          <t>DO-08</t>
        </is>
      </c>
      <c r="B68" s="9" t="inlineStr">
        <is>
          <t>Feature</t>
        </is>
      </c>
      <c r="C68" s="15" t="inlineStr">
        <is>
          <t>Delivery (customer)</t>
        </is>
      </c>
      <c r="D68" s="15" t="inlineStr">
        <is>
          <t>CUST</t>
        </is>
      </c>
      <c r="E68" s="15" t="inlineStr">
        <is>
          <t>—</t>
        </is>
      </c>
      <c r="F68" s="15" t="inlineStr">
        <is>
          <t>Place a valid order. Note the reference. Then open BrB, log in as CUST, go to /profile and search the same reference</t>
        </is>
      </c>
      <c r="G68" s="15" t="inlineStr">
        <is>
          <t>SRS expects the order to be visible on any device. The app shows "We could not find that reference." in BrB → F-01</t>
        </is>
      </c>
      <c r="H68" s="9" t="inlineStr">
        <is>
          <t>P1</t>
        </is>
      </c>
      <c r="I68" s="15" t="inlineStr">
        <is>
          <t>REQ-DEL-004</t>
        </is>
      </c>
      <c r="J68" s="15" t="inlineStr">
        <is>
          <t>REQ-DEL-004</t>
        </is>
      </c>
      <c r="K68" s="9" t="inlineStr">
        <is>
          <t>F-01</t>
        </is>
      </c>
      <c r="L68" s="9" t="inlineStr">
        <is>
          <t>Known deviation</t>
        </is>
      </c>
      <c r="M68" s="9" t="inlineStr">
        <is>
          <t>N</t>
        </is>
      </c>
      <c r="N68" s="16" t="inlineStr">
        <is>
          <t>Fail</t>
        </is>
      </c>
      <c r="O68" s="17" t="inlineStr">
        <is>
          <t>Orders are saved to browser localStorage only; the deployed bundle never queries delivery_orders</t>
        </is>
      </c>
      <c r="P68" s="17" t="inlineStr">
        <is>
          <t>F-01</t>
        </is>
      </c>
      <c r="Q68" s="17" t="inlineStr">
        <is>
          <t>Claude (inspection)</t>
        </is>
      </c>
      <c r="R68" s="18" t="n">
        <v>46302</v>
      </c>
      <c r="S68" s="16" t="inlineStr">
        <is>
          <t>Live bundle index-Bq1AsZVl.js; source 010694c</t>
        </is>
      </c>
      <c r="T68" s="17" t="inlineStr">
        <is>
          <t>Inspection result; re-confirm in the manual run</t>
        </is>
      </c>
      <c r="U68" s="17" t="inlineStr">
        <is>
          <t>Inspection</t>
        </is>
      </c>
    </row>
    <row r="69">
      <c r="A69" s="11" t="inlineStr">
        <is>
          <t>DO-09</t>
        </is>
      </c>
      <c r="B69" s="9" t="inlineStr">
        <is>
          <t>Feature</t>
        </is>
      </c>
      <c r="C69" s="15" t="inlineStr">
        <is>
          <t>Delivery (customer)</t>
        </is>
      </c>
      <c r="D69" s="15" t="inlineStr">
        <is>
          <t>CUST + CUST-B</t>
        </is>
      </c>
      <c r="E69" s="15" t="inlineStr">
        <is>
          <t>Two different browsers, both with clean storage</t>
        </is>
      </c>
      <c r="F69" s="15" t="inlineStr">
        <is>
          <t>Each places one order</t>
        </is>
      </c>
      <c r="G69" s="15" t="inlineStr">
        <is>
          <t>Expected: unique references. App: both get the same CAP-10xx (client-side counter) → F-02</t>
        </is>
      </c>
      <c r="H69" s="9" t="inlineStr">
        <is>
          <t>P1</t>
        </is>
      </c>
      <c r="I69" s="15" t="inlineStr">
        <is>
          <t>REQ-DEL-004</t>
        </is>
      </c>
      <c r="J69" s="15" t="inlineStr">
        <is>
          <t>REQ-DEL-004</t>
        </is>
      </c>
      <c r="K69" s="9" t="inlineStr">
        <is>
          <t>F-02</t>
        </is>
      </c>
      <c r="L69" s="9" t="inlineStr">
        <is>
          <t>Known deviation</t>
        </is>
      </c>
      <c r="M69" s="9" t="inlineStr">
        <is>
          <t>N</t>
        </is>
      </c>
      <c r="N69" s="16" t="inlineStr">
        <is>
          <t>Fail</t>
        </is>
      </c>
      <c r="O69" s="17" t="inlineStr">
        <is>
          <t>Reference is CAP-${1050 + local order count}; two clean browsers both produce CAP-1050</t>
        </is>
      </c>
      <c r="P69" s="17" t="inlineStr">
        <is>
          <t>F-02</t>
        </is>
      </c>
      <c r="Q69" s="17" t="inlineStr">
        <is>
          <t>Claude (inspection)</t>
        </is>
      </c>
      <c r="R69" s="18" t="n">
        <v>46302</v>
      </c>
      <c r="S69" s="16" t="inlineStr">
        <is>
          <t>Live bundle index-Bq1AsZVl.js; source 010694c</t>
        </is>
      </c>
      <c r="T69" s="17" t="inlineStr">
        <is>
          <t>Inspection result; re-confirm in the manual run</t>
        </is>
      </c>
      <c r="U69" s="17" t="inlineStr">
        <is>
          <t>Inspection</t>
        </is>
      </c>
    </row>
    <row r="70">
      <c r="A70" s="11" t="inlineStr">
        <is>
          <t>DO-10</t>
        </is>
      </c>
      <c r="B70" s="9" t="inlineStr">
        <is>
          <t>Feature</t>
        </is>
      </c>
      <c r="C70" s="15" t="inlineStr">
        <is>
          <t>Delivery (customer)</t>
        </is>
      </c>
      <c r="D70" s="15" t="inlineStr">
        <is>
          <t>CUST</t>
        </is>
      </c>
      <c r="E70" s="15" t="inlineStr">
        <is>
          <t>—</t>
        </is>
      </c>
      <c r="F70" s="15" t="inlineStr">
        <is>
          <t>Payment method options</t>
        </is>
      </c>
      <c r="G70" s="15" t="inlineStr">
        <is>
          <t>Cash on delivery / GCash / Card. No gateway step happens for GCash or Card, and the SRS names PayMaya, which the app does not offer → F-04</t>
        </is>
      </c>
      <c r="H70" s="9" t="inlineStr">
        <is>
          <t>P1</t>
        </is>
      </c>
      <c r="I70" s="15" t="inlineStr">
        <is>
          <t>REQ-DEL-003</t>
        </is>
      </c>
      <c r="J70" s="15" t="inlineStr">
        <is>
          <t>REQ-DEL-003</t>
        </is>
      </c>
      <c r="K70" s="9" t="inlineStr">
        <is>
          <t>F-04</t>
        </is>
      </c>
      <c r="L70" s="9" t="inlineStr">
        <is>
          <t>Known deviation</t>
        </is>
      </c>
      <c r="M70" s="9" t="inlineStr">
        <is>
          <t>N</t>
        </is>
      </c>
      <c r="N70" s="16" t="inlineStr">
        <is>
          <t>Fail</t>
        </is>
      </c>
      <c r="O70" s="17" t="inlineStr">
        <is>
          <t>Payment options are Cash on delivery / GCash / Card with no gateway step; PayMaya is absent from the bundle</t>
        </is>
      </c>
      <c r="P70" s="17" t="inlineStr">
        <is>
          <t>F-04</t>
        </is>
      </c>
      <c r="Q70" s="17" t="inlineStr">
        <is>
          <t>Claude (inspection)</t>
        </is>
      </c>
      <c r="R70" s="18" t="n">
        <v>46302</v>
      </c>
      <c r="S70" s="16" t="inlineStr">
        <is>
          <t>Live bundle index-Bq1AsZVl.js; source 010694c</t>
        </is>
      </c>
      <c r="T70" s="17" t="inlineStr">
        <is>
          <t>Inspection result; re-confirm in the manual run</t>
        </is>
      </c>
      <c r="U70" s="17" t="inlineStr">
        <is>
          <t>Inspection</t>
        </is>
      </c>
    </row>
    <row r="71">
      <c r="A71" s="11" t="inlineStr">
        <is>
          <t>DO-11</t>
        </is>
      </c>
      <c r="B71" s="9" t="inlineStr">
        <is>
          <t>Feature</t>
        </is>
      </c>
      <c r="C71" s="15" t="inlineStr">
        <is>
          <t>Delivery (customer)</t>
        </is>
      </c>
      <c r="D71" s="15" t="inlineStr">
        <is>
          <t>CUST</t>
        </is>
      </c>
      <c r="E71" s="15" t="inlineStr">
        <is>
          <t>Order placed</t>
        </is>
      </c>
      <c r="F71" s="15" t="inlineStr">
        <is>
          <t>Confirmation → Track this order</t>
        </is>
      </c>
      <c r="G71" s="15" t="inlineStr">
        <is>
          <t>Opens /profile?reference=CAP-… with the order prefilled and status Preparing</t>
        </is>
      </c>
      <c r="H71" s="9" t="inlineStr">
        <is>
          <t>P2</t>
        </is>
      </c>
      <c r="I71" s="15" t="inlineStr">
        <is>
          <t>REQ-DEL-004</t>
        </is>
      </c>
      <c r="J71" s="15" t="inlineStr">
        <is>
          <t>REQ-DEL-004</t>
        </is>
      </c>
      <c r="K71" s="9" t="inlineStr"/>
      <c r="L71" s="9" t="inlineStr">
        <is>
          <t>Expected to pass</t>
        </is>
      </c>
      <c r="M71" s="9" t="inlineStr">
        <is>
          <t>N</t>
        </is>
      </c>
      <c r="N71" s="16" t="inlineStr">
        <is>
          <t>Not Run</t>
        </is>
      </c>
      <c r="O71" s="17" t="n"/>
      <c r="P71" s="17" t="n"/>
      <c r="Q71" s="17" t="n"/>
      <c r="R71" s="18" t="n"/>
      <c r="S71" s="16" t="n"/>
      <c r="T71" s="17" t="n"/>
      <c r="U71" s="17" t="n"/>
    </row>
    <row r="72">
      <c r="A72" s="11" t="inlineStr">
        <is>
          <t>DO-12</t>
        </is>
      </c>
      <c r="B72" s="9" t="inlineStr">
        <is>
          <t>Feature</t>
        </is>
      </c>
      <c r="C72" s="15" t="inlineStr">
        <is>
          <t>Delivery (customer)</t>
        </is>
      </c>
      <c r="D72" s="15" t="inlineStr">
        <is>
          <t>CUST</t>
        </is>
      </c>
      <c r="E72" s="15" t="inlineStr">
        <is>
          <t>—</t>
        </is>
      </c>
      <c r="F72" s="15" t="inlineStr">
        <is>
          <t>Search the menu for zzz</t>
        </is>
      </c>
      <c r="G72" s="15" t="inlineStr">
        <is>
          <t>Empty state, no crash</t>
        </is>
      </c>
      <c r="H72" s="9" t="inlineStr">
        <is>
          <t>P2</t>
        </is>
      </c>
      <c r="I72" s="15" t="inlineStr">
        <is>
          <t>—</t>
        </is>
      </c>
      <c r="J72" s="15" t="inlineStr">
        <is>
          <t>BRIEF</t>
        </is>
      </c>
      <c r="K72" s="9" t="inlineStr"/>
      <c r="L72" s="9" t="inlineStr">
        <is>
          <t>Expected to pass</t>
        </is>
      </c>
      <c r="M72" s="9" t="inlineStr">
        <is>
          <t>N</t>
        </is>
      </c>
      <c r="N72" s="16" t="inlineStr">
        <is>
          <t>Not Run</t>
        </is>
      </c>
      <c r="O72" s="17" t="n"/>
      <c r="P72" s="17" t="n"/>
      <c r="Q72" s="17" t="n"/>
      <c r="R72" s="18" t="n"/>
      <c r="S72" s="16" t="n"/>
      <c r="T72" s="17" t="n"/>
      <c r="U72" s="17" t="n"/>
    </row>
    <row r="73">
      <c r="A73" s="11" t="inlineStr">
        <is>
          <t>DO-13</t>
        </is>
      </c>
      <c r="B73" s="9" t="inlineStr">
        <is>
          <t>Feature</t>
        </is>
      </c>
      <c r="C73" s="15" t="inlineStr">
        <is>
          <t>Delivery (customer)</t>
        </is>
      </c>
      <c r="D73" s="15" t="inlineStr">
        <is>
          <t>Guest</t>
        </is>
      </c>
      <c r="E73" s="15" t="inlineStr">
        <is>
          <t>—</t>
        </is>
      </c>
      <c r="F73" s="15" t="inlineStr">
        <is>
          <t>/delivery/order → open 3 items from different categories (e.g. Buttered Chicken, Bihon Bilao, a Kabayo item)</t>
        </is>
      </c>
      <c r="G73" s="15" t="inlineStr">
        <is>
          <t>Each shows a category, a price and a description. Photos: items without one show the "No image available" placeholder (count them). SRS: allergen/dietary tags. App: none → F-23</t>
        </is>
      </c>
      <c r="H73" s="9" t="inlineStr">
        <is>
          <t>P2</t>
        </is>
      </c>
      <c r="I73" s="15" t="inlineStr">
        <is>
          <t>REQ-DEL-001</t>
        </is>
      </c>
      <c r="J73" s="15" t="inlineStr">
        <is>
          <t>REQ-DEL-001</t>
        </is>
      </c>
      <c r="K73" s="9" t="inlineStr">
        <is>
          <t>F-23</t>
        </is>
      </c>
      <c r="L73" s="9" t="inlineStr">
        <is>
          <t>Known deviation</t>
        </is>
      </c>
      <c r="M73" s="9" t="inlineStr">
        <is>
          <t>N</t>
        </is>
      </c>
      <c r="N73" s="16" t="inlineStr">
        <is>
          <t>Fail</t>
        </is>
      </c>
      <c r="O73" s="17" t="inlineStr">
        <is>
          <t>Items show category, price and description; no allergen or dietary tags exist in the bundle</t>
        </is>
      </c>
      <c r="P73" s="17" t="inlineStr">
        <is>
          <t>F-23</t>
        </is>
      </c>
      <c r="Q73" s="17" t="inlineStr">
        <is>
          <t>Claude (inspection)</t>
        </is>
      </c>
      <c r="R73" s="18" t="n">
        <v>46302</v>
      </c>
      <c r="S73" s="16" t="inlineStr">
        <is>
          <t>Live bundle index-Bq1AsZVl.js; source 010694c</t>
        </is>
      </c>
      <c r="T73" s="17" t="inlineStr">
        <is>
          <t>Inspection result; re-confirm in the manual run</t>
        </is>
      </c>
      <c r="U73" s="17" t="inlineStr">
        <is>
          <t>Inspection</t>
        </is>
      </c>
    </row>
    <row r="74">
      <c r="A74" s="11" t="inlineStr">
        <is>
          <t>DO-14</t>
        </is>
      </c>
      <c r="B74" s="9" t="inlineStr">
        <is>
          <t>Feature</t>
        </is>
      </c>
      <c r="C74" s="15" t="inlineStr">
        <is>
          <t>Delivery (customer)</t>
        </is>
      </c>
      <c r="D74" s="15" t="inlineStr">
        <is>
          <t>CUST</t>
        </is>
      </c>
      <c r="E74" s="15" t="inlineStr">
        <is>
          <t>Cart has 2 different items</t>
        </is>
      </c>
      <c r="F74" s="15" t="inlineStr">
        <is>
          <t>Look for a per-item note (e.g. "no onions" on one dish). Then open the details modal and use Notes (optional)</t>
        </is>
      </c>
      <c r="G74" s="15" t="inlineStr">
        <is>
          <t>SRS: customisation notes per item. App: only one order-level Notes field; it is saved with the order and shown to staff in the order detail → F-24 (partial)</t>
        </is>
      </c>
      <c r="H74" s="9" t="inlineStr">
        <is>
          <t>P2</t>
        </is>
      </c>
      <c r="I74" s="15" t="inlineStr">
        <is>
          <t>REQ-DEL-002, §4.3.2-1</t>
        </is>
      </c>
      <c r="J74" s="15" t="inlineStr">
        <is>
          <t>REQ-DEL-002, SEQ-DEL</t>
        </is>
      </c>
      <c r="K74" s="9" t="inlineStr">
        <is>
          <t>F-24</t>
        </is>
      </c>
      <c r="L74" s="9" t="inlineStr">
        <is>
          <t>Known deviation</t>
        </is>
      </c>
      <c r="M74" s="9" t="inlineStr">
        <is>
          <t>N</t>
        </is>
      </c>
      <c r="N74" s="16" t="inlineStr">
        <is>
          <t>Fail</t>
        </is>
      </c>
      <c r="O74" s="17" t="inlineStr">
        <is>
          <t>Only one order-level Notes field; no per-item notes</t>
        </is>
      </c>
      <c r="P74" s="17" t="inlineStr">
        <is>
          <t>F-24</t>
        </is>
      </c>
      <c r="Q74" s="17" t="inlineStr">
        <is>
          <t>Claude (inspection)</t>
        </is>
      </c>
      <c r="R74" s="18" t="n">
        <v>46302</v>
      </c>
      <c r="S74" s="16" t="inlineStr">
        <is>
          <t>Live bundle index-Bq1AsZVl.js; source 010694c</t>
        </is>
      </c>
      <c r="T74" s="17" t="inlineStr">
        <is>
          <t>Inspection result; re-confirm in the manual run</t>
        </is>
      </c>
      <c r="U74" s="17" t="inlineStr">
        <is>
          <t>Inspection</t>
        </is>
      </c>
    </row>
    <row r="75">
      <c r="A75" s="11" t="inlineStr">
        <is>
          <t>DS-01</t>
        </is>
      </c>
      <c r="B75" s="9" t="inlineStr">
        <is>
          <t>Feature</t>
        </is>
      </c>
      <c r="C75" s="15" t="inlineStr">
        <is>
          <t>Delivery staff &amp; rider</t>
        </is>
      </c>
      <c r="D75" s="15" t="inlineStr">
        <is>
          <t>FOH</t>
        </is>
      </c>
      <c r="E75" s="15" t="inlineStr">
        <is>
          <t>Order REF-D in BrA</t>
        </is>
      </c>
      <c r="F75" s="15" t="inlineStr">
        <is>
          <t>/delivery/staff → status chips → Preparing</t>
        </is>
      </c>
      <c r="G75" s="15" t="inlineStr">
        <is>
          <t>The list filters, and counts match</t>
        </is>
      </c>
      <c r="H75" s="9" t="inlineStr">
        <is>
          <t>P1</t>
        </is>
      </c>
      <c r="I75" s="15" t="inlineStr">
        <is>
          <t>REQ-DEL-004, REQ-ADM-002</t>
        </is>
      </c>
      <c r="J75" s="15" t="inlineStr">
        <is>
          <t>REQ-DEL-004, REQ-ADM-002</t>
        </is>
      </c>
      <c r="K75" s="9" t="inlineStr"/>
      <c r="L75" s="9" t="inlineStr">
        <is>
          <t>Expected to pass</t>
        </is>
      </c>
      <c r="M75" s="9" t="inlineStr">
        <is>
          <t>N</t>
        </is>
      </c>
      <c r="N75" s="16" t="inlineStr">
        <is>
          <t>Not Run</t>
        </is>
      </c>
      <c r="O75" s="17" t="n"/>
      <c r="P75" s="17" t="n"/>
      <c r="Q75" s="17" t="n"/>
      <c r="R75" s="18" t="n"/>
      <c r="S75" s="16" t="n"/>
      <c r="T75" s="17" t="n"/>
      <c r="U75" s="17" t="n"/>
    </row>
    <row r="76">
      <c r="A76" s="11" t="inlineStr">
        <is>
          <t>DS-02</t>
        </is>
      </c>
      <c r="B76" s="9" t="inlineStr">
        <is>
          <t>Feature</t>
        </is>
      </c>
      <c r="C76" s="15" t="inlineStr">
        <is>
          <t>Delivery staff &amp; rider</t>
        </is>
      </c>
      <c r="D76" s="15" t="inlineStr">
        <is>
          <t>FOH</t>
        </is>
      </c>
      <c r="E76" s="15" t="inlineStr">
        <is>
          <t>—</t>
        </is>
      </c>
      <c r="F76" s="15" t="inlineStr">
        <is>
          <t>REF-D → Change status → Out for delivery. Then, as CUST in the same browser, open the profile tracker</t>
        </is>
      </c>
      <c r="G76" s="15" t="inlineStr">
        <is>
          <t>The tracker shows Out for delivery</t>
        </is>
      </c>
      <c r="H76" s="9" t="inlineStr">
        <is>
          <t>P1</t>
        </is>
      </c>
      <c r="I76" s="15" t="inlineStr">
        <is>
          <t>REQ-DEL-004</t>
        </is>
      </c>
      <c r="J76" s="15" t="inlineStr">
        <is>
          <t>REQ-DEL-004</t>
        </is>
      </c>
      <c r="K76" s="9" t="inlineStr"/>
      <c r="L76" s="9" t="inlineStr">
        <is>
          <t>Expected to pass</t>
        </is>
      </c>
      <c r="M76" s="9" t="inlineStr">
        <is>
          <t>N</t>
        </is>
      </c>
      <c r="N76" s="16" t="inlineStr">
        <is>
          <t>Not Run</t>
        </is>
      </c>
      <c r="O76" s="17" t="n"/>
      <c r="P76" s="17" t="n"/>
      <c r="Q76" s="17" t="n"/>
      <c r="R76" s="18" t="n"/>
      <c r="S76" s="16" t="n"/>
      <c r="T76" s="17" t="n"/>
      <c r="U76" s="17" t="n"/>
    </row>
    <row r="77">
      <c r="A77" s="11" t="inlineStr">
        <is>
          <t>DS-03</t>
        </is>
      </c>
      <c r="B77" s="9" t="inlineStr">
        <is>
          <t>Feature</t>
        </is>
      </c>
      <c r="C77" s="15" t="inlineStr">
        <is>
          <t>Delivery staff &amp; rider</t>
        </is>
      </c>
      <c r="D77" s="15" t="inlineStr">
        <is>
          <t>FOH</t>
        </is>
      </c>
      <c r="E77" s="15" t="inlineStr">
        <is>
          <t>—</t>
        </is>
      </c>
      <c r="F77" s="15" t="inlineStr">
        <is>
          <t>Add rider: name Jun Reyes (duplicate)</t>
        </is>
      </c>
      <c r="G77" s="15" t="inlineStr">
        <is>
          <t>"A rider with this name already exists"</t>
        </is>
      </c>
      <c r="H77" s="9" t="inlineStr">
        <is>
          <t>P2</t>
        </is>
      </c>
      <c r="I77" s="15" t="inlineStr">
        <is>
          <t>—</t>
        </is>
      </c>
      <c r="J77" s="15" t="inlineStr">
        <is>
          <t>BRIEF</t>
        </is>
      </c>
      <c r="K77" s="9" t="inlineStr"/>
      <c r="L77" s="9" t="inlineStr">
        <is>
          <t>Expected to pass</t>
        </is>
      </c>
      <c r="M77" s="9" t="inlineStr">
        <is>
          <t>N</t>
        </is>
      </c>
      <c r="N77" s="16" t="inlineStr">
        <is>
          <t>Not Run</t>
        </is>
      </c>
      <c r="O77" s="17" t="n"/>
      <c r="P77" s="17" t="n"/>
      <c r="Q77" s="17" t="n"/>
      <c r="R77" s="18" t="n"/>
      <c r="S77" s="16" t="n"/>
      <c r="T77" s="17" t="n"/>
      <c r="U77" s="17" t="n"/>
    </row>
    <row r="78">
      <c r="A78" s="11" t="inlineStr">
        <is>
          <t>DS-04</t>
        </is>
      </c>
      <c r="B78" s="9" t="inlineStr">
        <is>
          <t>Feature</t>
        </is>
      </c>
      <c r="C78" s="15" t="inlineStr">
        <is>
          <t>Delivery staff &amp; rider</t>
        </is>
      </c>
      <c r="D78" s="15" t="inlineStr">
        <is>
          <t>FOH</t>
        </is>
      </c>
      <c r="E78" s="15" t="inlineStr">
        <is>
          <t>—</t>
        </is>
      </c>
      <c r="F78" s="15" t="inlineStr">
        <is>
          <t>Add rider Ana Lim / 09181112222 → assign her to an order → delete her</t>
        </is>
      </c>
      <c r="G78" s="15" t="inlineStr">
        <is>
          <t>The order shows Unassigned again</t>
        </is>
      </c>
      <c r="H78" s="9" t="inlineStr">
        <is>
          <t>P2</t>
        </is>
      </c>
      <c r="I78" s="15" t="inlineStr">
        <is>
          <t>—</t>
        </is>
      </c>
      <c r="J78" s="15" t="inlineStr">
        <is>
          <t>BRIEF</t>
        </is>
      </c>
      <c r="K78" s="9" t="inlineStr"/>
      <c r="L78" s="9" t="inlineStr">
        <is>
          <t>Expected to pass</t>
        </is>
      </c>
      <c r="M78" s="9" t="inlineStr">
        <is>
          <t>N</t>
        </is>
      </c>
      <c r="N78" s="16" t="inlineStr">
        <is>
          <t>Not Run</t>
        </is>
      </c>
      <c r="O78" s="17" t="n"/>
      <c r="P78" s="17" t="n"/>
      <c r="Q78" s="17" t="n"/>
      <c r="R78" s="18" t="n"/>
      <c r="S78" s="16" t="n"/>
      <c r="T78" s="17" t="n"/>
      <c r="U78" s="17" t="n"/>
    </row>
    <row r="79">
      <c r="A79" s="11" t="inlineStr">
        <is>
          <t>DS-05</t>
        </is>
      </c>
      <c r="B79" s="9" t="inlineStr">
        <is>
          <t>Feature</t>
        </is>
      </c>
      <c r="C79" s="15" t="inlineStr">
        <is>
          <t>Delivery staff &amp; rider</t>
        </is>
      </c>
      <c r="D79" s="15" t="inlineStr">
        <is>
          <t>FOH</t>
        </is>
      </c>
      <c r="E79" s="15" t="inlineStr">
        <is>
          <t>—</t>
        </is>
      </c>
      <c r="F79" s="15" t="inlineStr">
        <is>
          <t>/delivery/items → Manage categories → hide Kabayo → open /delivery/order as CUST in the same browser</t>
        </is>
      </c>
      <c r="G79" s="15" t="inlineStr">
        <is>
          <t>Kabayo items are hidden from the customer menu</t>
        </is>
      </c>
      <c r="H79" s="9" t="inlineStr">
        <is>
          <t>P1</t>
        </is>
      </c>
      <c r="I79" s="15" t="inlineStr">
        <is>
          <t>REQ-ADM-003</t>
        </is>
      </c>
      <c r="J79" s="15" t="inlineStr">
        <is>
          <t>REQ-ADM-003</t>
        </is>
      </c>
      <c r="K79" s="9" t="inlineStr"/>
      <c r="L79" s="9" t="inlineStr">
        <is>
          <t>Expected to pass</t>
        </is>
      </c>
      <c r="M79" s="9" t="inlineStr">
        <is>
          <t>N</t>
        </is>
      </c>
      <c r="N79" s="16" t="inlineStr">
        <is>
          <t>Not Run</t>
        </is>
      </c>
      <c r="O79" s="17" t="n"/>
      <c r="P79" s="17" t="n"/>
      <c r="Q79" s="17" t="n"/>
      <c r="R79" s="18" t="n"/>
      <c r="S79" s="16" t="n"/>
      <c r="T79" s="17" t="n"/>
      <c r="U79" s="17" t="n"/>
    </row>
    <row r="80">
      <c r="A80" s="11" t="inlineStr">
        <is>
          <t>DS-06</t>
        </is>
      </c>
      <c r="B80" s="9" t="inlineStr">
        <is>
          <t>Feature</t>
        </is>
      </c>
      <c r="C80" s="15" t="inlineStr">
        <is>
          <t>Delivery staff &amp; rider</t>
        </is>
      </c>
      <c r="D80" s="15" t="inlineStr">
        <is>
          <t>FOH</t>
        </is>
      </c>
      <c r="E80" s="15" t="inlineStr">
        <is>
          <t>DS-05 done</t>
        </is>
      </c>
      <c r="F80" s="15" t="inlineStr">
        <is>
          <t>Open /delivery/order in BrB</t>
        </is>
      </c>
      <c r="G80" s="15" t="inlineStr">
        <is>
          <t>SRS expects the change on the public storefront. Kabayo is still visible in BrB (localStorage only) → F-09</t>
        </is>
      </c>
      <c r="H80" s="9" t="inlineStr">
        <is>
          <t>P1</t>
        </is>
      </c>
      <c r="I80" s="15" t="inlineStr">
        <is>
          <t>REQ-ADM-003, §4.4.2-4</t>
        </is>
      </c>
      <c r="J80" s="15" t="inlineStr">
        <is>
          <t>REQ-ADM-003, SEQ-ADM</t>
        </is>
      </c>
      <c r="K80" s="9" t="inlineStr">
        <is>
          <t>F-09</t>
        </is>
      </c>
      <c r="L80" s="9" t="inlineStr">
        <is>
          <t>Known deviation</t>
        </is>
      </c>
      <c r="M80" s="9" t="inlineStr">
        <is>
          <t>N</t>
        </is>
      </c>
      <c r="N80" s="16" t="inlineStr">
        <is>
          <t>Fail</t>
        </is>
      </c>
      <c r="O80" s="17" t="inlineStr">
        <is>
          <t>Menu manager edits are stored in localStorage only, so BrB never sees them</t>
        </is>
      </c>
      <c r="P80" s="17" t="inlineStr">
        <is>
          <t>F-09</t>
        </is>
      </c>
      <c r="Q80" s="17" t="inlineStr">
        <is>
          <t>Claude (inspection)</t>
        </is>
      </c>
      <c r="R80" s="18" t="n">
        <v>46302</v>
      </c>
      <c r="S80" s="16" t="inlineStr">
        <is>
          <t>Live bundle index-Bq1AsZVl.js; source 010694c</t>
        </is>
      </c>
      <c r="T80" s="17" t="inlineStr">
        <is>
          <t>Inspection result; re-confirm in the manual run</t>
        </is>
      </c>
      <c r="U80" s="17" t="inlineStr">
        <is>
          <t>Inspection</t>
        </is>
      </c>
    </row>
    <row r="81">
      <c r="A81" s="11" t="inlineStr">
        <is>
          <t>DS-07</t>
        </is>
      </c>
      <c r="B81" s="9" t="inlineStr">
        <is>
          <t>Feature</t>
        </is>
      </c>
      <c r="C81" s="15" t="inlineStr">
        <is>
          <t>Delivery staff &amp; rider</t>
        </is>
      </c>
      <c r="D81" s="15" t="inlineStr">
        <is>
          <t>FOH</t>
        </is>
      </c>
      <c r="E81" s="15" t="inlineStr">
        <is>
          <t>—</t>
        </is>
      </c>
      <c r="F81" s="15" t="inlineStr">
        <is>
          <t>Add item QA Pancit / price 0</t>
        </is>
      </c>
      <c r="G81" s="15" t="inlineStr">
        <is>
          <t>Validation rejects the price</t>
        </is>
      </c>
      <c r="H81" s="9" t="inlineStr">
        <is>
          <t>P2</t>
        </is>
      </c>
      <c r="I81" s="15" t="inlineStr">
        <is>
          <t>REQ-ADM-003</t>
        </is>
      </c>
      <c r="J81" s="15" t="inlineStr">
        <is>
          <t>REQ-ADM-003</t>
        </is>
      </c>
      <c r="K81" s="9" t="inlineStr"/>
      <c r="L81" s="9" t="inlineStr">
        <is>
          <t>Expected to pass</t>
        </is>
      </c>
      <c r="M81" s="9" t="inlineStr">
        <is>
          <t>N</t>
        </is>
      </c>
      <c r="N81" s="16" t="inlineStr">
        <is>
          <t>Not Run</t>
        </is>
      </c>
      <c r="O81" s="17" t="n"/>
      <c r="P81" s="17" t="n"/>
      <c r="Q81" s="17" t="n"/>
      <c r="R81" s="18" t="n"/>
      <c r="S81" s="16" t="n"/>
      <c r="T81" s="17" t="n"/>
      <c r="U81" s="17" t="n"/>
    </row>
    <row r="82">
      <c r="A82" s="11" t="inlineStr">
        <is>
          <t>DS-08</t>
        </is>
      </c>
      <c r="B82" s="9" t="inlineStr">
        <is>
          <t>Feature</t>
        </is>
      </c>
      <c r="C82" s="15" t="inlineStr">
        <is>
          <t>Delivery staff &amp; rider</t>
        </is>
      </c>
      <c r="D82" s="15" t="inlineStr">
        <is>
          <t>FOH</t>
        </is>
      </c>
      <c r="E82" s="15" t="inlineStr">
        <is>
          <t>—</t>
        </is>
      </c>
      <c r="F82" s="15" t="inlineStr">
        <is>
          <t>Open /delivery/items as FOH</t>
        </is>
      </c>
      <c r="G82" s="15" t="inlineStr">
        <is>
          <t>SRS: only Manager and Admin may change menu and prices. App: FOH has full edit access → F-08</t>
        </is>
      </c>
      <c r="H82" s="9" t="inlineStr">
        <is>
          <t>P1</t>
        </is>
      </c>
      <c r="I82" s="15" t="inlineStr">
        <is>
          <t>BR Menu &amp; Pricing Authority</t>
        </is>
      </c>
      <c r="J82" s="15" t="inlineStr">
        <is>
          <t>BR-03</t>
        </is>
      </c>
      <c r="K82" s="9" t="inlineStr">
        <is>
          <t>F-08</t>
        </is>
      </c>
      <c r="L82" s="9" t="inlineStr">
        <is>
          <t>Known deviation</t>
        </is>
      </c>
      <c r="M82" s="9" t="inlineStr">
        <is>
          <t>N</t>
        </is>
      </c>
      <c r="N82" s="16" t="inlineStr">
        <is>
          <t>Fail</t>
        </is>
      </c>
      <c r="O82" s="17" t="inlineStr">
        <is>
          <t>/delivery/items is in front_of_house's allowed routes and the menu manager has no role check, so FOH has full edit access</t>
        </is>
      </c>
      <c r="P82" s="17" t="inlineStr">
        <is>
          <t>F-08</t>
        </is>
      </c>
      <c r="Q82" s="17" t="inlineStr">
        <is>
          <t>Claude (inspection)</t>
        </is>
      </c>
      <c r="R82" s="18" t="n">
        <v>46302</v>
      </c>
      <c r="S82" s="16" t="inlineStr">
        <is>
          <t>Live bundle index-Bq1AsZVl.js; source 010694c</t>
        </is>
      </c>
      <c r="T82" s="17" t="inlineStr">
        <is>
          <t>Inspection result; re-confirm in the manual run</t>
        </is>
      </c>
      <c r="U82" s="17" t="inlineStr">
        <is>
          <t>Inspection</t>
        </is>
      </c>
    </row>
    <row r="83">
      <c r="A83" s="11" t="inlineStr">
        <is>
          <t>DS-09</t>
        </is>
      </c>
      <c r="B83" s="9" t="inlineStr">
        <is>
          <t>Feature</t>
        </is>
      </c>
      <c r="C83" s="15" t="inlineStr">
        <is>
          <t>Delivery staff &amp; rider</t>
        </is>
      </c>
      <c r="D83" s="15" t="inlineStr">
        <is>
          <t>RIDER</t>
        </is>
      </c>
      <c r="E83" s="15" t="inlineStr">
        <is>
          <t>Order assigned to Jun Reyes, status Preparing</t>
        </is>
      </c>
      <c r="F83" s="15" t="inlineStr">
        <is>
          <t>/delivery/rider</t>
        </is>
      </c>
      <c r="G83" s="15" t="inlineStr">
        <is>
          <t>The order is listed with no action button (rider actions start at Ready for pickup)</t>
        </is>
      </c>
      <c r="H83" s="9" t="inlineStr">
        <is>
          <t>P1</t>
        </is>
      </c>
      <c r="I83" s="15" t="inlineStr">
        <is>
          <t>§2.3 Rider</t>
        </is>
      </c>
      <c r="J83" s="15" t="inlineStr">
        <is>
          <t>UR-RIDER</t>
        </is>
      </c>
      <c r="K83" s="9" t="inlineStr"/>
      <c r="L83" s="9" t="inlineStr">
        <is>
          <t>Expected to pass</t>
        </is>
      </c>
      <c r="M83" s="9" t="inlineStr">
        <is>
          <t>N</t>
        </is>
      </c>
      <c r="N83" s="16" t="inlineStr">
        <is>
          <t>Not Run</t>
        </is>
      </c>
      <c r="O83" s="17" t="n"/>
      <c r="P83" s="17" t="n"/>
      <c r="Q83" s="17" t="n"/>
      <c r="R83" s="18" t="n"/>
      <c r="S83" s="16" t="n"/>
      <c r="T83" s="17" t="n"/>
      <c r="U83" s="17" t="n"/>
    </row>
    <row r="84">
      <c r="A84" s="11" t="inlineStr">
        <is>
          <t>DS-10</t>
        </is>
      </c>
      <c r="B84" s="9" t="inlineStr">
        <is>
          <t>Feature</t>
        </is>
      </c>
      <c r="C84" s="15" t="inlineStr">
        <is>
          <t>Delivery staff &amp; rider</t>
        </is>
      </c>
      <c r="D84" s="15" t="inlineStr">
        <is>
          <t>RIDER</t>
        </is>
      </c>
      <c r="E84" s="15" t="inlineStr">
        <is>
          <t>—</t>
        </is>
      </c>
      <c r="F84" s="15" t="inlineStr">
        <is>
          <t>Status filter chips</t>
        </is>
      </c>
      <c r="G84" s="15" t="inlineStr">
        <is>
          <t>The counts for Out for delivery and Delivered match the list</t>
        </is>
      </c>
      <c r="H84" s="9" t="inlineStr">
        <is>
          <t>P2</t>
        </is>
      </c>
      <c r="I84" s="15" t="inlineStr">
        <is>
          <t>—</t>
        </is>
      </c>
      <c r="J84" s="15" t="inlineStr">
        <is>
          <t>BRIEF</t>
        </is>
      </c>
      <c r="K84" s="9" t="inlineStr"/>
      <c r="L84" s="9" t="inlineStr">
        <is>
          <t>Expected to pass</t>
        </is>
      </c>
      <c r="M84" s="9" t="inlineStr">
        <is>
          <t>N</t>
        </is>
      </c>
      <c r="N84" s="16" t="inlineStr">
        <is>
          <t>Not Run</t>
        </is>
      </c>
      <c r="O84" s="17" t="n"/>
      <c r="P84" s="17" t="n"/>
      <c r="Q84" s="17" t="n"/>
      <c r="R84" s="18" t="n"/>
      <c r="S84" s="16" t="n"/>
      <c r="T84" s="17" t="n"/>
      <c r="U84" s="17" t="n"/>
    </row>
    <row r="85">
      <c r="A85" s="11" t="inlineStr">
        <is>
          <t>DS-11</t>
        </is>
      </c>
      <c r="B85" s="9" t="inlineStr">
        <is>
          <t>Feature</t>
        </is>
      </c>
      <c r="C85" s="15" t="inlineStr">
        <is>
          <t>Delivery staff &amp; rider</t>
        </is>
      </c>
      <c r="D85" s="15" t="inlineStr">
        <is>
          <t>RIDER (display name not a rider record, e.g. QA Rider)</t>
        </is>
      </c>
      <c r="E85" s="15" t="inlineStr">
        <is>
          <t>—</t>
        </is>
      </c>
      <c r="F85" s="15" t="inlineStr">
        <is>
          <t>Open /delivery/rider</t>
        </is>
      </c>
      <c r="G85" s="15" t="inlineStr">
        <is>
          <t>Expected: "No rider record assigned". App: falls back to the first rider (Jun Reyes) and shows their orders → F-13</t>
        </is>
      </c>
      <c r="H85" s="9" t="inlineStr">
        <is>
          <t>P1</t>
        </is>
      </c>
      <c r="I85" s="15" t="inlineStr">
        <is>
          <t>§2.3 (assigned orders only)</t>
        </is>
      </c>
      <c r="J85" s="15" t="inlineStr">
        <is>
          <t>BRIEF</t>
        </is>
      </c>
      <c r="K85" s="9" t="inlineStr">
        <is>
          <t>F-13</t>
        </is>
      </c>
      <c r="L85" s="9" t="inlineStr">
        <is>
          <t>Known deviation</t>
        </is>
      </c>
      <c r="M85" s="9" t="inlineStr">
        <is>
          <t>N</t>
        </is>
      </c>
      <c r="N85" s="16" t="inlineStr">
        <is>
          <t>Fail</t>
        </is>
      </c>
      <c r="O85" s="17" t="inlineStr">
        <is>
          <t>Rider page matches by display name and falls back to the first rider (riders[0]) when there is no match</t>
        </is>
      </c>
      <c r="P85" s="17" t="inlineStr">
        <is>
          <t>F-13</t>
        </is>
      </c>
      <c r="Q85" s="17" t="inlineStr">
        <is>
          <t>Claude (inspection)</t>
        </is>
      </c>
      <c r="R85" s="18" t="n">
        <v>46302</v>
      </c>
      <c r="S85" s="16" t="inlineStr">
        <is>
          <t>Live bundle index-Bq1AsZVl.js; source 010694c</t>
        </is>
      </c>
      <c r="T85" s="17" t="inlineStr">
        <is>
          <t>Inspection result; re-confirm in the manual run</t>
        </is>
      </c>
      <c r="U85" s="17" t="inlineStr">
        <is>
          <t>Inspection</t>
        </is>
      </c>
    </row>
    <row r="86">
      <c r="A86" s="11" t="inlineStr">
        <is>
          <t>DS-12</t>
        </is>
      </c>
      <c r="B86" s="9" t="inlineStr">
        <is>
          <t>Feature</t>
        </is>
      </c>
      <c r="C86" s="15" t="inlineStr">
        <is>
          <t>Delivery staff &amp; rider</t>
        </is>
      </c>
      <c r="D86" s="15" t="inlineStr">
        <is>
          <t>RIDER</t>
        </is>
      </c>
      <c r="E86" s="15" t="inlineStr">
        <is>
          <t>No orders assigned</t>
        </is>
      </c>
      <c r="F86" s="15" t="inlineStr">
        <is>
          <t>Open the page</t>
        </is>
      </c>
      <c r="G86" s="15" t="inlineStr">
        <is>
          <t>An empty state is shown, not an error</t>
        </is>
      </c>
      <c r="H86" s="9" t="inlineStr">
        <is>
          <t>P2</t>
        </is>
      </c>
      <c r="I86" s="15" t="inlineStr">
        <is>
          <t>—</t>
        </is>
      </c>
      <c r="J86" s="15" t="inlineStr">
        <is>
          <t>BRIEF</t>
        </is>
      </c>
      <c r="K86" s="9" t="inlineStr"/>
      <c r="L86" s="9" t="inlineStr">
        <is>
          <t>Expected to pass</t>
        </is>
      </c>
      <c r="M86" s="9" t="inlineStr">
        <is>
          <t>N</t>
        </is>
      </c>
      <c r="N86" s="16" t="inlineStr">
        <is>
          <t>Not Run</t>
        </is>
      </c>
      <c r="O86" s="17" t="n"/>
      <c r="P86" s="17" t="n"/>
      <c r="Q86" s="17" t="n"/>
      <c r="R86" s="18" t="n"/>
      <c r="S86" s="16" t="n"/>
      <c r="T86" s="17" t="n"/>
      <c r="U86" s="17" t="n"/>
    </row>
    <row r="87">
      <c r="A87" s="11" t="inlineStr">
        <is>
          <t>DS-13</t>
        </is>
      </c>
      <c r="B87" s="9" t="inlineStr">
        <is>
          <t>Feature</t>
        </is>
      </c>
      <c r="C87" s="15" t="inlineStr">
        <is>
          <t>Delivery staff &amp; rider</t>
        </is>
      </c>
      <c r="D87" s="15" t="inlineStr">
        <is>
          <t>RIDER</t>
        </is>
      </c>
      <c r="E87" s="15" t="inlineStr">
        <is>
          <t>Order assigned to Jun Reyes, status Ready for pickup</t>
        </is>
      </c>
      <c r="F87" s="15" t="inlineStr">
        <is>
          <t>/delivery/rider → list the actions offered</t>
        </is>
      </c>
      <c r="G87" s="15" t="inlineStr">
        <is>
          <t>SRS: the rider may only set Delivered. App: the rider can also move Ready for pickup → Out for delivery (Start delivery) → F-25</t>
        </is>
      </c>
      <c r="H87" s="9" t="inlineStr">
        <is>
          <t>P2</t>
        </is>
      </c>
      <c r="I87" s="15" t="inlineStr">
        <is>
          <t>§2.3 Delivery Rider</t>
        </is>
      </c>
      <c r="J87" s="15" t="inlineStr">
        <is>
          <t>UR-RIDER</t>
        </is>
      </c>
      <c r="K87" s="9" t="inlineStr">
        <is>
          <t>F-25</t>
        </is>
      </c>
      <c r="L87" s="9" t="inlineStr">
        <is>
          <t>Known deviation</t>
        </is>
      </c>
      <c r="M87" s="9" t="inlineStr">
        <is>
          <t>N</t>
        </is>
      </c>
      <c r="N87" s="16" t="inlineStr">
        <is>
          <t>Fail</t>
        </is>
      </c>
      <c r="O87" s="17" t="inlineStr">
        <is>
          <t>Rider actions: Ready for pickup → Start delivery (Out for delivery) → Mark delivered</t>
        </is>
      </c>
      <c r="P87" s="17" t="inlineStr">
        <is>
          <t>F-25</t>
        </is>
      </c>
      <c r="Q87" s="17" t="inlineStr">
        <is>
          <t>Claude (inspection)</t>
        </is>
      </c>
      <c r="R87" s="18" t="n">
        <v>46302</v>
      </c>
      <c r="S87" s="16" t="inlineStr">
        <is>
          <t>Live bundle index-Bq1AsZVl.js; source 010694c</t>
        </is>
      </c>
      <c r="T87" s="17" t="inlineStr">
        <is>
          <t>Inspection result; re-confirm in the manual run</t>
        </is>
      </c>
      <c r="U87" s="17" t="inlineStr">
        <is>
          <t>Inspection</t>
        </is>
      </c>
    </row>
    <row r="88">
      <c r="A88" s="11" t="inlineStr">
        <is>
          <t>DS-14</t>
        </is>
      </c>
      <c r="B88" s="9" t="inlineStr">
        <is>
          <t>Feature</t>
        </is>
      </c>
      <c r="C88" s="15" t="inlineStr">
        <is>
          <t>Delivery staff &amp; rider</t>
        </is>
      </c>
      <c r="D88" s="15" t="inlineStr">
        <is>
          <t>FOH</t>
        </is>
      </c>
      <c r="E88" s="15" t="inlineStr">
        <is>
          <t>/delivery/staff open in BrA with sound on</t>
        </is>
      </c>
      <c r="F88" s="15" t="inlineStr">
        <is>
          <t>In another tab of BrA (same profile, see F-01), CUST places a new order. Return to the staff tab</t>
        </is>
      </c>
      <c r="G88" s="15" t="inlineStr">
        <is>
          <t>SRS: an audible chime plus the new order docket, without a refresh. App: no sound, and the order appears only after a manual reload (no polling or storage listener on /delivery/staff) → F-26</t>
        </is>
      </c>
      <c r="H88" s="9" t="inlineStr">
        <is>
          <t>P2</t>
        </is>
      </c>
      <c r="I88" s="15" t="inlineStr">
        <is>
          <t>§4.3.2-4, §3.1 alerts</t>
        </is>
      </c>
      <c r="J88" s="15" t="inlineStr">
        <is>
          <t>IF-UI-01, SEQ-DEL</t>
        </is>
      </c>
      <c r="K88" s="9" t="inlineStr">
        <is>
          <t>F-01, F-26</t>
        </is>
      </c>
      <c r="L88" s="9" t="inlineStr">
        <is>
          <t>Known deviation</t>
        </is>
      </c>
      <c r="M88" s="9" t="inlineStr">
        <is>
          <t>N</t>
        </is>
      </c>
      <c r="N88" s="16" t="inlineStr">
        <is>
          <t>Fail</t>
        </is>
      </c>
      <c r="O88" s="17" t="inlineStr">
        <is>
          <t>No audio code in the bundle; /delivery/staff has no polling or storage listener, so new orders need a reload</t>
        </is>
      </c>
      <c r="P88" s="17" t="inlineStr">
        <is>
          <t>F-26</t>
        </is>
      </c>
      <c r="Q88" s="17" t="inlineStr">
        <is>
          <t>Claude (inspection)</t>
        </is>
      </c>
      <c r="R88" s="18" t="n">
        <v>46302</v>
      </c>
      <c r="S88" s="16" t="inlineStr">
        <is>
          <t>Live bundle index-Bq1AsZVl.js; source 010694c</t>
        </is>
      </c>
      <c r="T88" s="17" t="inlineStr">
        <is>
          <t>Inspection result; re-confirm in the manual run</t>
        </is>
      </c>
      <c r="U88" s="17" t="inlineStr">
        <is>
          <t>Inspection</t>
        </is>
      </c>
    </row>
    <row r="89">
      <c r="A89" s="11" t="inlineStr">
        <is>
          <t>IQ-01</t>
        </is>
      </c>
      <c r="B89" s="9" t="inlineStr">
        <is>
          <t>Feature</t>
        </is>
      </c>
      <c r="C89" s="15" t="inlineStr">
        <is>
          <t>Inquiries</t>
        </is>
      </c>
      <c r="D89" s="15" t="inlineStr">
        <is>
          <t>Guest (signed out)</t>
        </is>
      </c>
      <c r="E89" s="15" t="inlineStr">
        <is>
          <t>—</t>
        </is>
      </c>
      <c r="F89" s="15" t="inlineStr">
        <is>
          <t>/inquiries → submit a valid General Question</t>
        </is>
      </c>
      <c r="G89" s="15" t="inlineStr">
        <is>
          <t>SRS: sign-in required (REQ-INQ-001). App: accepted from a guest, user_id = null → F-07</t>
        </is>
      </c>
      <c r="H89" s="9" t="inlineStr">
        <is>
          <t>P1</t>
        </is>
      </c>
      <c r="I89" s="15" t="inlineStr">
        <is>
          <t>REQ-INQ-001, §2.3</t>
        </is>
      </c>
      <c r="J89" s="15" t="inlineStr">
        <is>
          <t>REQ-INQ-001, UR-CUST</t>
        </is>
      </c>
      <c r="K89" s="9" t="inlineStr">
        <is>
          <t>F-07</t>
        </is>
      </c>
      <c r="L89" s="9" t="inlineStr">
        <is>
          <t>Known deviation</t>
        </is>
      </c>
      <c r="M89" s="9" t="inlineStr">
        <is>
          <t>N</t>
        </is>
      </c>
      <c r="N89" s="16" t="inlineStr">
        <is>
          <t>Fail</t>
        </is>
      </c>
      <c r="O89" s="17" t="inlineStr">
        <is>
          <t>Inquiries page has no sign-in check, and the server always saves user_id = null</t>
        </is>
      </c>
      <c r="P89" s="17" t="inlineStr">
        <is>
          <t>F-07</t>
        </is>
      </c>
      <c r="Q89" s="17" t="inlineStr">
        <is>
          <t>Claude (inspection)</t>
        </is>
      </c>
      <c r="R89" s="18" t="n">
        <v>46302</v>
      </c>
      <c r="S89" s="16" t="inlineStr">
        <is>
          <t>Live bundle index-Bq1AsZVl.js; source 010694c</t>
        </is>
      </c>
      <c r="T89" s="17" t="inlineStr">
        <is>
          <t>Inspection result; re-confirm in the manual run</t>
        </is>
      </c>
      <c r="U89" s="17" t="inlineStr">
        <is>
          <t>Inspection</t>
        </is>
      </c>
    </row>
    <row r="90">
      <c r="A90" s="11" t="inlineStr">
        <is>
          <t>IQ-02</t>
        </is>
      </c>
      <c r="B90" s="9" t="inlineStr">
        <is>
          <t>Feature</t>
        </is>
      </c>
      <c r="C90" s="15" t="inlineStr">
        <is>
          <t>Inquiries</t>
        </is>
      </c>
      <c r="D90" s="15" t="inlineStr">
        <is>
          <t>CUST</t>
        </is>
      </c>
      <c r="E90" s="15" t="inlineStr">
        <is>
          <t>—</t>
        </is>
      </c>
      <c r="F90" s="15" t="inlineStr">
        <is>
          <t>Submit with an empty Message</t>
        </is>
      </c>
      <c r="G90" s="15" t="inlineStr">
        <is>
          <t>Browser required validation blocks the submit</t>
        </is>
      </c>
      <c r="H90" s="9" t="inlineStr">
        <is>
          <t>P2</t>
        </is>
      </c>
      <c r="I90" s="15" t="inlineStr">
        <is>
          <t>REQ-INQ-001</t>
        </is>
      </c>
      <c r="J90" s="15" t="inlineStr">
        <is>
          <t>REQ-INQ-001</t>
        </is>
      </c>
      <c r="K90" s="9" t="inlineStr"/>
      <c r="L90" s="9" t="inlineStr">
        <is>
          <t>Expected to pass</t>
        </is>
      </c>
      <c r="M90" s="9" t="inlineStr">
        <is>
          <t>N</t>
        </is>
      </c>
      <c r="N90" s="16" t="inlineStr">
        <is>
          <t>Not Run</t>
        </is>
      </c>
      <c r="O90" s="17" t="n"/>
      <c r="P90" s="17" t="n"/>
      <c r="Q90" s="17" t="n"/>
      <c r="R90" s="18" t="n"/>
      <c r="S90" s="16" t="n"/>
      <c r="T90" s="17" t="n"/>
      <c r="U90" s="17" t="n"/>
    </row>
    <row r="91">
      <c r="A91" s="11" t="inlineStr">
        <is>
          <t>IQ-03</t>
        </is>
      </c>
      <c r="B91" s="9" t="inlineStr">
        <is>
          <t>Feature</t>
        </is>
      </c>
      <c r="C91" s="15" t="inlineStr">
        <is>
          <t>Inquiries</t>
        </is>
      </c>
      <c r="D91" s="15" t="inlineStr">
        <is>
          <t>CUST</t>
        </is>
      </c>
      <c r="E91" s="15" t="inlineStr">
        <is>
          <t>—</t>
        </is>
      </c>
      <c r="F91" s="15" t="inlineStr">
        <is>
          <t>Run curl -X POST $SITE/inquiries -H 'Content-Type: application/json' -d '{"name":"a","email":"bad","type":"x","message":"y"}'</t>
        </is>
      </c>
      <c r="G91" s="15" t="inlineStr">
        <is>
          <t>HTTP 400 "Please provide a valid name, email, inquiry type, and message."</t>
        </is>
      </c>
      <c r="H91" s="9" t="inlineStr">
        <is>
          <t>P1</t>
        </is>
      </c>
      <c r="I91" s="15" t="inlineStr">
        <is>
          <t>—</t>
        </is>
      </c>
      <c r="J91" s="15" t="inlineStr">
        <is>
          <t>BRIEF</t>
        </is>
      </c>
      <c r="K91" s="9" t="inlineStr"/>
      <c r="L91" s="9" t="inlineStr">
        <is>
          <t>Expected to pass</t>
        </is>
      </c>
      <c r="M91" s="9" t="inlineStr">
        <is>
          <t>N</t>
        </is>
      </c>
      <c r="N91" s="16" t="inlineStr">
        <is>
          <t>Pass</t>
        </is>
      </c>
      <c r="O91" s="17" t="inlineStr">
        <is>
          <t>HTTP 400 {"error":"Please provide a valid name, email, inquiry type, and message."}</t>
        </is>
      </c>
      <c r="P91" s="17" t="n"/>
      <c r="Q91" s="17" t="inlineStr">
        <is>
          <t>Claude (automated, no account)</t>
        </is>
      </c>
      <c r="R91" s="18" t="n">
        <v>46302</v>
      </c>
      <c r="S91" s="16" t="inlineStr">
        <is>
          <t>Live (Railway main); repo db90eeb</t>
        </is>
      </c>
      <c r="T91" s="17" t="n"/>
      <c r="U91" s="17" t="inlineStr">
        <is>
          <t>Test</t>
        </is>
      </c>
    </row>
    <row r="92">
      <c r="A92" s="11" t="inlineStr">
        <is>
          <t>IQ-04</t>
        </is>
      </c>
      <c r="B92" s="9" t="inlineStr">
        <is>
          <t>Feature</t>
        </is>
      </c>
      <c r="C92" s="15" t="inlineStr">
        <is>
          <t>Inquiries</t>
        </is>
      </c>
      <c r="D92" s="15" t="inlineStr">
        <is>
          <t>CUST</t>
        </is>
      </c>
      <c r="E92" s="15" t="inlineStr">
        <is>
          <t>—</t>
        </is>
      </c>
      <c r="F92" s="15" t="inlineStr">
        <is>
          <t>Type Delivery, message I would like to order 20 packs of Adobong Manok for Friday</t>
        </is>
      </c>
      <c r="G92" s="15" t="inlineStr">
        <is>
          <t>Success "Your request was sent to our staff.". The DB row has type = Manual Order Request, status = New</t>
        </is>
      </c>
      <c r="H92" s="9" t="inlineStr">
        <is>
          <t>P1</t>
        </is>
      </c>
      <c r="I92" s="15" t="inlineStr">
        <is>
          <t>REQ-INQ-001, §4.1.2-2</t>
        </is>
      </c>
      <c r="J92" s="15" t="inlineStr">
        <is>
          <t>REQ-INQ-001, SEQ-INQ</t>
        </is>
      </c>
      <c r="K92" s="9" t="inlineStr"/>
      <c r="L92" s="9" t="inlineStr">
        <is>
          <t>Expected to pass</t>
        </is>
      </c>
      <c r="M92" s="9" t="inlineStr">
        <is>
          <t>Y</t>
        </is>
      </c>
      <c r="N92" s="16" t="inlineStr">
        <is>
          <t>Not Run</t>
        </is>
      </c>
      <c r="O92" s="17" t="n"/>
      <c r="P92" s="17" t="n"/>
      <c r="Q92" s="17" t="n"/>
      <c r="R92" s="18" t="n"/>
      <c r="S92" s="16" t="n"/>
      <c r="T92" s="17" t="n"/>
      <c r="U92" s="17" t="n"/>
    </row>
    <row r="93">
      <c r="A93" s="11" t="inlineStr">
        <is>
          <t>IQ-05</t>
        </is>
      </c>
      <c r="B93" s="9" t="inlineStr">
        <is>
          <t>Feature</t>
        </is>
      </c>
      <c r="C93" s="15" t="inlineStr">
        <is>
          <t>Inquiries</t>
        </is>
      </c>
      <c r="D93" s="15" t="inlineStr">
        <is>
          <t>FOH</t>
        </is>
      </c>
      <c r="E93" s="15" t="inlineStr">
        <is>
          <t>IQ-04 done</t>
        </is>
      </c>
      <c r="F93" s="15" t="inlineStr">
        <is>
          <t>/operations → Inquiries panel (wait ≤ 10 s, no refresh)</t>
        </is>
      </c>
      <c r="G93" s="15" t="inlineStr">
        <is>
          <t>The row appears with the Manual reply needed badge. New inquiries is incremented. (Arrives by 10-s polling; the SRS asks for push → F-27)</t>
        </is>
      </c>
      <c r="H93" s="9" t="inlineStr">
        <is>
          <t>P1</t>
        </is>
      </c>
      <c r="I93" s="15" t="inlineStr">
        <is>
          <t>REQ-ADM-002, §3.1 alerts, §3.4</t>
        </is>
      </c>
      <c r="J93" s="15" t="inlineStr">
        <is>
          <t>REQ-ADM-002, IF-UI-01, IF-COM-01</t>
        </is>
      </c>
      <c r="K93" s="9" t="inlineStr">
        <is>
          <t>F-27</t>
        </is>
      </c>
      <c r="L93" s="9" t="inlineStr">
        <is>
          <t>Known deviation</t>
        </is>
      </c>
      <c r="M93" s="9" t="inlineStr">
        <is>
          <t>Y</t>
        </is>
      </c>
      <c r="N93" s="16" t="inlineStr">
        <is>
          <t>Not Run</t>
        </is>
      </c>
      <c r="O93" s="17" t="n"/>
      <c r="P93" s="17" t="n"/>
      <c r="Q93" s="17" t="n"/>
      <c r="R93" s="18" t="n"/>
      <c r="S93" s="16" t="n"/>
      <c r="T93" s="17" t="n"/>
      <c r="U93" s="17" t="n"/>
    </row>
    <row r="94">
      <c r="A94" s="11" t="inlineStr">
        <is>
          <t>IQ-06</t>
        </is>
      </c>
      <c r="B94" s="9" t="inlineStr">
        <is>
          <t>Feature</t>
        </is>
      </c>
      <c r="C94" s="15" t="inlineStr">
        <is>
          <t>Inquiries</t>
        </is>
      </c>
      <c r="D94" s="15" t="inlineStr">
        <is>
          <t>FOH</t>
        </is>
      </c>
      <c r="E94" s="15" t="inlineStr">
        <is>
          <t>IQ-05</t>
        </is>
      </c>
      <c r="F94" s="15" t="inlineStr">
        <is>
          <t>Set the status → In progress, then Resolved. Refresh the page</t>
        </is>
      </c>
      <c r="G94" s="15" t="inlineStr">
        <is>
          <t>The status persists after the refresh. The badge disappears after leaving New</t>
        </is>
      </c>
      <c r="H94" s="9" t="inlineStr">
        <is>
          <t>P1</t>
        </is>
      </c>
      <c r="I94" s="15" t="inlineStr">
        <is>
          <t>REQ-INQ-004, §4.1.2-5</t>
        </is>
      </c>
      <c r="J94" s="15" t="inlineStr">
        <is>
          <t>REQ-INQ-004, SEQ-INQ</t>
        </is>
      </c>
      <c r="K94" s="9" t="inlineStr"/>
      <c r="L94" s="9" t="inlineStr">
        <is>
          <t>Expected to pass</t>
        </is>
      </c>
      <c r="M94" s="9" t="inlineStr">
        <is>
          <t>N</t>
        </is>
      </c>
      <c r="N94" s="16" t="inlineStr">
        <is>
          <t>Not Run</t>
        </is>
      </c>
      <c r="O94" s="17" t="n"/>
      <c r="P94" s="17" t="n"/>
      <c r="Q94" s="17" t="n"/>
      <c r="R94" s="18" t="n"/>
      <c r="S94" s="16" t="n"/>
      <c r="T94" s="17" t="n"/>
      <c r="U94" s="17" t="n"/>
    </row>
    <row r="95">
      <c r="A95" s="11" t="inlineStr">
        <is>
          <t>IQ-07</t>
        </is>
      </c>
      <c r="B95" s="9" t="inlineStr">
        <is>
          <t>Feature</t>
        </is>
      </c>
      <c r="C95" s="15" t="inlineStr">
        <is>
          <t>Inquiries</t>
        </is>
      </c>
      <c r="D95" s="15" t="inlineStr">
        <is>
          <t>CUST</t>
        </is>
      </c>
      <c r="E95" s="15" t="inlineStr">
        <is>
          <t>—</t>
        </is>
      </c>
      <c r="F95" s="15" t="inlineStr">
        <is>
          <t>Informational inquiry What time do you open?</t>
        </is>
      </c>
      <c r="G95" s="15" t="inlineStr">
        <is>
          <t>Reply shown in about 30 s or less. The DB row status is Resolved immediately. SRS says it is created as New → F-07</t>
        </is>
      </c>
      <c r="H95" s="9" t="inlineStr">
        <is>
          <t>P2</t>
        </is>
      </c>
      <c r="I95" s="15" t="inlineStr">
        <is>
          <t>§4.1.2-2/3</t>
        </is>
      </c>
      <c r="J95" s="15" t="inlineStr">
        <is>
          <t>SEQ-INQ</t>
        </is>
      </c>
      <c r="K95" s="9" t="inlineStr">
        <is>
          <t>F-07</t>
        </is>
      </c>
      <c r="L95" s="9" t="inlineStr">
        <is>
          <t>Known deviation</t>
        </is>
      </c>
      <c r="M95" s="9" t="inlineStr">
        <is>
          <t>N</t>
        </is>
      </c>
      <c r="N95" s="16" t="inlineStr">
        <is>
          <t>Fail</t>
        </is>
      </c>
      <c r="O95" s="17" t="inlineStr">
        <is>
          <t>Server saves non-order web inquiries with status Resolved (webhook.js:827), not New</t>
        </is>
      </c>
      <c r="P95" s="17" t="inlineStr">
        <is>
          <t>F-07</t>
        </is>
      </c>
      <c r="Q95" s="17" t="inlineStr">
        <is>
          <t>Claude (inspection)</t>
        </is>
      </c>
      <c r="R95" s="18" t="n">
        <v>46302</v>
      </c>
      <c r="S95" s="16" t="inlineStr">
        <is>
          <t>Live bundle index-Bq1AsZVl.js; source 010694c</t>
        </is>
      </c>
      <c r="T95" s="17" t="inlineStr">
        <is>
          <t>Inspection result; re-confirm in the manual run</t>
        </is>
      </c>
      <c r="U95" s="17" t="inlineStr">
        <is>
          <t>Inspection</t>
        </is>
      </c>
    </row>
    <row r="96">
      <c r="A96" s="11" t="inlineStr">
        <is>
          <t>IQ-08</t>
        </is>
      </c>
      <c r="B96" s="9" t="inlineStr">
        <is>
          <t>Feature</t>
        </is>
      </c>
      <c r="C96" s="15" t="inlineStr">
        <is>
          <t>Inquiries</t>
        </is>
      </c>
      <c r="D96" s="15" t="inlineStr">
        <is>
          <t>FOH</t>
        </is>
      </c>
      <c r="E96" s="15" t="inlineStr">
        <is>
          <t>No inquiries (staging)</t>
        </is>
      </c>
      <c r="F96" s="15" t="inlineStr">
        <is>
          <t>Open the Inquiries panel</t>
        </is>
      </c>
      <c r="G96" s="15" t="inlineStr">
        <is>
          <t>Empty state text, no spinner stuck</t>
        </is>
      </c>
      <c r="H96" s="9" t="inlineStr">
        <is>
          <t>P2</t>
        </is>
      </c>
      <c r="I96" s="15" t="inlineStr">
        <is>
          <t>—</t>
        </is>
      </c>
      <c r="J96" s="15" t="inlineStr">
        <is>
          <t>BRIEF</t>
        </is>
      </c>
      <c r="K96" s="9" t="inlineStr"/>
      <c r="L96" s="9" t="inlineStr">
        <is>
          <t>Expected to pass</t>
        </is>
      </c>
      <c r="M96" s="9" t="inlineStr">
        <is>
          <t>N</t>
        </is>
      </c>
      <c r="N96" s="16" t="inlineStr">
        <is>
          <t>Not Run</t>
        </is>
      </c>
      <c r="O96" s="17" t="n"/>
      <c r="P96" s="17" t="n"/>
      <c r="Q96" s="17" t="n"/>
      <c r="R96" s="18" t="n"/>
      <c r="S96" s="16" t="n"/>
      <c r="T96" s="17" t="n"/>
      <c r="U96" s="17" t="n"/>
    </row>
    <row r="97">
      <c r="A97" s="11" t="inlineStr">
        <is>
          <t>IB-01</t>
        </is>
      </c>
      <c r="B97" s="9" t="inlineStr">
        <is>
          <t>Feature</t>
        </is>
      </c>
      <c r="C97" s="15" t="inlineStr">
        <is>
          <t>Inquiry Bot</t>
        </is>
      </c>
      <c r="D97" s="15" t="inlineStr">
        <is>
          <t>FOH</t>
        </is>
      </c>
      <c r="E97" s="15" t="inlineStr">
        <is>
          <t>≥ 1 Messenger question the bot could not answer (send Do you have halal certification? to the Page from a test FB account)</t>
        </is>
      </c>
      <c r="F97" s="15" t="inlineStr">
        <is>
          <t>Open /inquiry-bot</t>
        </is>
      </c>
      <c r="G97" s="15" t="inlineStr">
        <is>
          <t>The item appears under Needs reply (type Unanswered Question, status New) within 10 s</t>
        </is>
      </c>
      <c r="H97" s="9" t="inlineStr">
        <is>
          <t>P1</t>
        </is>
      </c>
      <c r="I97" s="15" t="inlineStr">
        <is>
          <t>REQ-INQ-002</t>
        </is>
      </c>
      <c r="J97" s="15" t="inlineStr">
        <is>
          <t>REQ-INQ-002</t>
        </is>
      </c>
      <c r="K97" s="9" t="inlineStr"/>
      <c r="L97" s="9" t="inlineStr">
        <is>
          <t>Expected to pass</t>
        </is>
      </c>
      <c r="M97" s="9" t="inlineStr">
        <is>
          <t>N</t>
        </is>
      </c>
      <c r="N97" s="16" t="inlineStr">
        <is>
          <t>Not Run</t>
        </is>
      </c>
      <c r="O97" s="17" t="n"/>
      <c r="P97" s="17" t="n"/>
      <c r="Q97" s="17" t="n"/>
      <c r="R97" s="18" t="n"/>
      <c r="S97" s="16" t="n"/>
      <c r="T97" s="17" t="n"/>
      <c r="U97" s="17" t="n"/>
    </row>
    <row r="98">
      <c r="A98" s="11" t="inlineStr">
        <is>
          <t>IB-02</t>
        </is>
      </c>
      <c r="B98" s="9" t="inlineStr">
        <is>
          <t>Feature</t>
        </is>
      </c>
      <c r="C98" s="15" t="inlineStr">
        <is>
          <t>Inquiry Bot</t>
        </is>
      </c>
      <c r="D98" s="15" t="inlineStr">
        <is>
          <t>FOH</t>
        </is>
      </c>
      <c r="E98" s="15" t="inlineStr">
        <is>
          <t>—</t>
        </is>
      </c>
      <c r="F98" s="15" t="inlineStr">
        <is>
          <t>Chips Needs reply / Requests / Resolved / All, plus the type dropdown</t>
        </is>
      </c>
      <c r="G98" s="15" t="inlineStr">
        <is>
          <t>Counts on the chips match the lists. Type filter narrows further. "No inquiries match these filters." when empty</t>
        </is>
      </c>
      <c r="H98" s="9" t="inlineStr">
        <is>
          <t>P2</t>
        </is>
      </c>
      <c r="I98" s="15" t="inlineStr">
        <is>
          <t>—</t>
        </is>
      </c>
      <c r="J98" s="15" t="inlineStr">
        <is>
          <t>BRIEF</t>
        </is>
      </c>
      <c r="K98" s="9" t="inlineStr"/>
      <c r="L98" s="9" t="inlineStr">
        <is>
          <t>Expected to pass</t>
        </is>
      </c>
      <c r="M98" s="9" t="inlineStr">
        <is>
          <t>N</t>
        </is>
      </c>
      <c r="N98" s="16" t="inlineStr">
        <is>
          <t>Not Run</t>
        </is>
      </c>
      <c r="O98" s="17" t="n"/>
      <c r="P98" s="17" t="n"/>
      <c r="Q98" s="17" t="n"/>
      <c r="R98" s="18" t="n"/>
      <c r="S98" s="16" t="n"/>
      <c r="T98" s="17" t="n"/>
      <c r="U98" s="17" t="n"/>
    </row>
    <row r="99">
      <c r="A99" s="11" t="inlineStr">
        <is>
          <t>IB-03</t>
        </is>
      </c>
      <c r="B99" s="9" t="inlineStr">
        <is>
          <t>Feature</t>
        </is>
      </c>
      <c r="C99" s="15" t="inlineStr">
        <is>
          <t>Inquiry Bot</t>
        </is>
      </c>
      <c r="D99" s="15" t="inlineStr">
        <is>
          <t>FOH</t>
        </is>
      </c>
      <c r="E99" s="15" t="inlineStr">
        <is>
          <t>—</t>
        </is>
      </c>
      <c r="F99" s="15" t="inlineStr">
        <is>
          <t>Search halal</t>
        </is>
      </c>
      <c r="G99" s="15" t="inlineStr">
        <is>
          <t>Only matching cards remain</t>
        </is>
      </c>
      <c r="H99" s="9" t="inlineStr">
        <is>
          <t>P2</t>
        </is>
      </c>
      <c r="I99" s="15" t="inlineStr">
        <is>
          <t>—</t>
        </is>
      </c>
      <c r="J99" s="15" t="inlineStr">
        <is>
          <t>BRIEF</t>
        </is>
      </c>
      <c r="K99" s="9" t="inlineStr"/>
      <c r="L99" s="9" t="inlineStr">
        <is>
          <t>Expected to pass</t>
        </is>
      </c>
      <c r="M99" s="9" t="inlineStr">
        <is>
          <t>N</t>
        </is>
      </c>
      <c r="N99" s="16" t="inlineStr">
        <is>
          <t>Not Run</t>
        </is>
      </c>
      <c r="O99" s="17" t="n"/>
      <c r="P99" s="17" t="n"/>
      <c r="Q99" s="17" t="n"/>
      <c r="R99" s="18" t="n"/>
      <c r="S99" s="16" t="n"/>
      <c r="T99" s="17" t="n"/>
      <c r="U99" s="17" t="n"/>
    </row>
    <row r="100">
      <c r="A100" s="11" t="inlineStr">
        <is>
          <t>IB-04</t>
        </is>
      </c>
      <c r="B100" s="9" t="inlineStr">
        <is>
          <t>Feature</t>
        </is>
      </c>
      <c r="C100" s="15" t="inlineStr">
        <is>
          <t>Inquiry Bot</t>
        </is>
      </c>
      <c r="D100" s="15" t="inlineStr">
        <is>
          <t>FOH</t>
        </is>
      </c>
      <c r="E100" s="15" t="inlineStr">
        <is>
          <t>IB-01, within 24 h of the customer's message</t>
        </is>
      </c>
      <c r="F100" s="15" t="inlineStr">
        <is>
          <t>Reply on Messenger → type Yes, we are halal-friendly. — Capitol → Send</t>
        </is>
      </c>
      <c r="G100" s="15" t="inlineStr">
        <is>
          <t>Success banner. The test FB account receives the message. The card becomes Resolved with the reply text and time. The button now reads Reply again</t>
        </is>
      </c>
      <c r="H100" s="9" t="inlineStr">
        <is>
          <t>P1</t>
        </is>
      </c>
      <c r="I100" s="15" t="inlineStr">
        <is>
          <t>REQ-INQ-004</t>
        </is>
      </c>
      <c r="J100" s="15" t="inlineStr">
        <is>
          <t>REQ-INQ-004</t>
        </is>
      </c>
      <c r="K100" s="9" t="inlineStr"/>
      <c r="L100" s="9" t="inlineStr">
        <is>
          <t>Expected to pass</t>
        </is>
      </c>
      <c r="M100" s="9" t="inlineStr">
        <is>
          <t>N</t>
        </is>
      </c>
      <c r="N100" s="16" t="inlineStr">
        <is>
          <t>Not Run</t>
        </is>
      </c>
      <c r="O100" s="17" t="n"/>
      <c r="P100" s="17" t="n"/>
      <c r="Q100" s="17" t="n"/>
      <c r="R100" s="18" t="n"/>
      <c r="S100" s="16" t="n"/>
      <c r="T100" s="17" t="n"/>
      <c r="U100" s="17" t="n"/>
    </row>
    <row r="101">
      <c r="A101" s="11" t="inlineStr">
        <is>
          <t>IB-05</t>
        </is>
      </c>
      <c r="B101" s="9" t="inlineStr">
        <is>
          <t>Feature</t>
        </is>
      </c>
      <c r="C101" s="15" t="inlineStr">
        <is>
          <t>Inquiry Bot</t>
        </is>
      </c>
      <c r="D101" s="15" t="inlineStr">
        <is>
          <t>FOH</t>
        </is>
      </c>
      <c r="E101" s="15" t="inlineStr">
        <is>
          <t>A Messenger inquiry whose customer last wrote more than 24 h ago (prepare one the day before)</t>
        </is>
      </c>
      <c r="F101" s="15" t="inlineStr">
        <is>
          <t>Reply on Messenger → Send</t>
        </is>
      </c>
      <c r="G101" s="15" t="inlineStr">
        <is>
          <t>Error banner "Messenger did not accept the reply. Facebook only allows Page replies within 24 hours…". Status is unchanged</t>
        </is>
      </c>
      <c r="H101" s="9" t="inlineStr">
        <is>
          <t>P1</t>
        </is>
      </c>
      <c r="I101" s="15" t="inlineStr">
        <is>
          <t>REQ-INQ-004</t>
        </is>
      </c>
      <c r="J101" s="15" t="inlineStr">
        <is>
          <t>REQ-INQ-004</t>
        </is>
      </c>
      <c r="K101" s="9" t="inlineStr"/>
      <c r="L101" s="9" t="inlineStr">
        <is>
          <t>Expected to pass</t>
        </is>
      </c>
      <c r="M101" s="9" t="inlineStr">
        <is>
          <t>N</t>
        </is>
      </c>
      <c r="N101" s="16" t="inlineStr">
        <is>
          <t>Not Run</t>
        </is>
      </c>
      <c r="O101" s="17" t="n"/>
      <c r="P101" s="17" t="n"/>
      <c r="Q101" s="17" t="n"/>
      <c r="R101" s="18" t="n"/>
      <c r="S101" s="16" t="n"/>
      <c r="T101" s="17" t="n"/>
      <c r="U101" s="17" t="n"/>
    </row>
    <row r="102">
      <c r="A102" s="11" t="inlineStr">
        <is>
          <t>IB-06</t>
        </is>
      </c>
      <c r="B102" s="9" t="inlineStr">
        <is>
          <t>Feature</t>
        </is>
      </c>
      <c r="C102" s="15" t="inlineStr">
        <is>
          <t>Inquiry Bot</t>
        </is>
      </c>
      <c r="D102" s="15" t="inlineStr">
        <is>
          <t>FOH</t>
        </is>
      </c>
      <c r="E102" s="15" t="inlineStr">
        <is>
          <t>New inquiry</t>
        </is>
      </c>
      <c r="F102" s="15" t="inlineStr">
        <is>
          <t>Mark in progress → Mark resolved → Reopen</t>
        </is>
      </c>
      <c r="G102" s="15" t="inlineStr">
        <is>
          <t>New → In progress → Resolved → In progress. Each change persists after a refresh</t>
        </is>
      </c>
      <c r="H102" s="9" t="inlineStr">
        <is>
          <t>P1</t>
        </is>
      </c>
      <c r="I102" s="15" t="inlineStr">
        <is>
          <t>REQ-INQ-004</t>
        </is>
      </c>
      <c r="J102" s="15" t="inlineStr">
        <is>
          <t>REQ-INQ-004</t>
        </is>
      </c>
      <c r="K102" s="9" t="inlineStr"/>
      <c r="L102" s="9" t="inlineStr">
        <is>
          <t>Expected to pass</t>
        </is>
      </c>
      <c r="M102" s="9" t="inlineStr">
        <is>
          <t>N</t>
        </is>
      </c>
      <c r="N102" s="16" t="inlineStr">
        <is>
          <t>Not Run</t>
        </is>
      </c>
      <c r="O102" s="17" t="n"/>
      <c r="P102" s="17" t="n"/>
      <c r="Q102" s="17" t="n"/>
      <c r="R102" s="18" t="n"/>
      <c r="S102" s="16" t="n"/>
      <c r="T102" s="17" t="n"/>
      <c r="U102" s="17" t="n"/>
    </row>
    <row r="103">
      <c r="A103" s="11" t="inlineStr">
        <is>
          <t>IB-07</t>
        </is>
      </c>
      <c r="B103" s="9" t="inlineStr">
        <is>
          <t>Feature</t>
        </is>
      </c>
      <c r="C103" s="15" t="inlineStr">
        <is>
          <t>Inquiry Bot</t>
        </is>
      </c>
      <c r="D103" s="15" t="inlineStr">
        <is>
          <t>FOH</t>
        </is>
      </c>
      <c r="E103" s="15" t="inlineStr">
        <is>
          <t>—</t>
        </is>
      </c>
      <c r="F103" s="15" t="inlineStr">
        <is>
          <t>Open the reply modal with an empty text</t>
        </is>
      </c>
      <c r="G103" s="15" t="inlineStr">
        <is>
          <t>Send disabled</t>
        </is>
      </c>
      <c r="H103" s="9" t="inlineStr">
        <is>
          <t>P2</t>
        </is>
      </c>
      <c r="I103" s="15" t="inlineStr">
        <is>
          <t>—</t>
        </is>
      </c>
      <c r="J103" s="15" t="inlineStr">
        <is>
          <t>BRIEF</t>
        </is>
      </c>
      <c r="K103" s="9" t="inlineStr"/>
      <c r="L103" s="9" t="inlineStr">
        <is>
          <t>Expected to pass</t>
        </is>
      </c>
      <c r="M103" s="9" t="inlineStr">
        <is>
          <t>N</t>
        </is>
      </c>
      <c r="N103" s="16" t="inlineStr">
        <is>
          <t>Not Run</t>
        </is>
      </c>
      <c r="O103" s="17" t="n"/>
      <c r="P103" s="17" t="n"/>
      <c r="Q103" s="17" t="n"/>
      <c r="R103" s="18" t="n"/>
      <c r="S103" s="16" t="n"/>
      <c r="T103" s="17" t="n"/>
      <c r="U103" s="17" t="n"/>
    </row>
    <row r="104">
      <c r="A104" s="11" t="inlineStr">
        <is>
          <t>IB-08</t>
        </is>
      </c>
      <c r="B104" s="9" t="inlineStr">
        <is>
          <t>Feature</t>
        </is>
      </c>
      <c r="C104" s="15" t="inlineStr">
        <is>
          <t>Inquiry Bot</t>
        </is>
      </c>
      <c r="D104" s="15" t="inlineStr">
        <is>
          <t>FOH</t>
        </is>
      </c>
      <c r="E104" s="15" t="inlineStr">
        <is>
          <t>—</t>
        </is>
      </c>
      <c r="F104" s="15" t="inlineStr">
        <is>
          <t>Look for the AI-drafted reply next to the inquiry</t>
        </is>
      </c>
      <c r="G104" s="15" t="inlineStr">
        <is>
          <t>SRS: AI draft shown and editable before sending. App: no draft; staff types from scratch → F-10</t>
        </is>
      </c>
      <c r="H104" s="9" t="inlineStr">
        <is>
          <t>P1</t>
        </is>
      </c>
      <c r="I104" s="15" t="inlineStr">
        <is>
          <t>REQ-INQ-003</t>
        </is>
      </c>
      <c r="J104" s="15" t="inlineStr">
        <is>
          <t>REQ-INQ-003</t>
        </is>
      </c>
      <c r="K104" s="9" t="inlineStr">
        <is>
          <t>F-10</t>
        </is>
      </c>
      <c r="L104" s="9" t="inlineStr">
        <is>
          <t>Known deviation</t>
        </is>
      </c>
      <c r="M104" s="9" t="inlineStr">
        <is>
          <t>N</t>
        </is>
      </c>
      <c r="N104" s="16" t="inlineStr">
        <is>
          <t>Fail</t>
        </is>
      </c>
      <c r="O104" s="17" t="inlineStr">
        <is>
          <t>No AI draft shown: the Inquiry Bot page has no draft field ('draft'/'suggested_reply' absent from the bundle)</t>
        </is>
      </c>
      <c r="P104" s="17" t="inlineStr">
        <is>
          <t>F-10</t>
        </is>
      </c>
      <c r="Q104" s="17" t="inlineStr">
        <is>
          <t>Claude (inspection)</t>
        </is>
      </c>
      <c r="R104" s="18" t="n">
        <v>46302</v>
      </c>
      <c r="S104" s="16" t="inlineStr">
        <is>
          <t>Live bundle index-Bq1AsZVl.js; source 010694c</t>
        </is>
      </c>
      <c r="T104" s="17" t="inlineStr">
        <is>
          <t>Inspection result; re-confirm in the manual run</t>
        </is>
      </c>
      <c r="U104" s="17" t="inlineStr">
        <is>
          <t>Inspection</t>
        </is>
      </c>
    </row>
    <row r="105">
      <c r="A105" s="11" t="inlineStr">
        <is>
          <t>IB-09</t>
        </is>
      </c>
      <c r="B105" s="9" t="inlineStr">
        <is>
          <t>Feature</t>
        </is>
      </c>
      <c r="C105" s="15" t="inlineStr">
        <is>
          <t>Inquiry Bot</t>
        </is>
      </c>
      <c r="D105" s="15" t="inlineStr">
        <is>
          <t>—</t>
        </is>
      </c>
      <c r="E105" s="15" t="inlineStr">
        <is>
          <t>—</t>
        </is>
      </c>
      <c r="F105" s="15" t="inlineStr">
        <is>
          <t>curl -X PATCH $SITE/inquiries/&lt;id&gt;/status -H 'Content-Type: application/json' -d '{"status":"Resolved"}' (no token), then repeat with a CUST JWT in Authorization: Bearer</t>
        </is>
      </c>
      <c r="G105" s="15" t="inlineStr">
        <is>
          <t>401 Sign in required., then 403 Only staff, managers, or admins…</t>
        </is>
      </c>
      <c r="H105" s="9" t="inlineStr">
        <is>
          <t>P1</t>
        </is>
      </c>
      <c r="I105" s="15" t="inlineStr">
        <is>
          <t>REQ-ADM-001</t>
        </is>
      </c>
      <c r="J105" s="15" t="inlineStr">
        <is>
          <t>REQ-ADM-001</t>
        </is>
      </c>
      <c r="K105" s="9" t="inlineStr"/>
      <c r="L105" s="9" t="inlineStr">
        <is>
          <t>Expected to pass</t>
        </is>
      </c>
      <c r="M105" s="9" t="inlineStr">
        <is>
          <t>N</t>
        </is>
      </c>
      <c r="N105" s="16" t="inlineStr">
        <is>
          <t>Blocked</t>
        </is>
      </c>
      <c r="O105" s="17" t="inlineStr">
        <is>
          <t>No token → 401 'Sign in required.' (as expected). Bogus token → 401 'Session expired…'</t>
        </is>
      </c>
      <c r="P105" s="17" t="n"/>
      <c r="Q105" s="17" t="inlineStr">
        <is>
          <t>Claude (automated, no account)</t>
        </is>
      </c>
      <c r="R105" s="18" t="n">
        <v>46302</v>
      </c>
      <c r="S105" s="16" t="inlineStr">
        <is>
          <t>Live (Railway main); repo db90eeb</t>
        </is>
      </c>
      <c r="T105" s="17" t="inlineStr">
        <is>
          <t>403 half needs a CUST JWT; QA accounts not created yet</t>
        </is>
      </c>
      <c r="U105" s="17" t="inlineStr">
        <is>
          <t>Test</t>
        </is>
      </c>
    </row>
    <row r="106">
      <c r="A106" s="11" t="inlineStr">
        <is>
          <t>MA-01</t>
        </is>
      </c>
      <c r="B106" s="9" t="inlineStr">
        <is>
          <t>Feature</t>
        </is>
      </c>
      <c r="C106" s="15" t="inlineStr">
        <is>
          <t>Messenger AI agent</t>
        </is>
      </c>
      <c r="D106" s="15" t="inlineStr">
        <is>
          <t>—</t>
        </is>
      </c>
      <c r="E106" s="15" t="inlineStr">
        <is>
          <t>VERIFY_TOKEN from Railway variables</t>
        </is>
      </c>
      <c r="F106" s="15" t="inlineStr">
        <is>
          <t>curl '$SITE/inquiry-bot?hub.mode=subscribe&amp;hub.verify_token=&lt;TOKEN&gt;&amp;hub.challenge=4242'</t>
        </is>
      </c>
      <c r="G106" s="15" t="inlineStr">
        <is>
          <t>200, body 4242</t>
        </is>
      </c>
      <c r="H106" s="9" t="inlineStr">
        <is>
          <t>P1</t>
        </is>
      </c>
      <c r="I106" s="15" t="inlineStr">
        <is>
          <t>REQ-INQ-002</t>
        </is>
      </c>
      <c r="J106" s="15" t="inlineStr">
        <is>
          <t>REQ-INQ-002</t>
        </is>
      </c>
      <c r="K106" s="9" t="inlineStr"/>
      <c r="L106" s="9" t="inlineStr">
        <is>
          <t>Expected to pass</t>
        </is>
      </c>
      <c r="M106" s="9" t="inlineStr">
        <is>
          <t>N</t>
        </is>
      </c>
      <c r="N106" s="16" t="inlineStr">
        <is>
          <t>Pass</t>
        </is>
      </c>
      <c r="O106" s="17" t="inlineStr">
        <is>
          <t>HTTP 200, body 4242. The token that worked is 'test-agent', the code's fallback, so VERIFY_TOKEN is not set on Railway</t>
        </is>
      </c>
      <c r="P106" s="17" t="inlineStr">
        <is>
          <t>F-18</t>
        </is>
      </c>
      <c r="Q106" s="17" t="inlineStr">
        <is>
          <t>Claude (automated, no account)</t>
        </is>
      </c>
      <c r="R106" s="18" t="n">
        <v>46302</v>
      </c>
      <c r="S106" s="16" t="inlineStr">
        <is>
          <t>Live (Railway main); repo db90eeb</t>
        </is>
      </c>
      <c r="T106" s="17" t="inlineStr">
        <is>
          <t>Handshake works, but with the default token; see F-18</t>
        </is>
      </c>
      <c r="U106" s="17" t="inlineStr">
        <is>
          <t>Test</t>
        </is>
      </c>
    </row>
    <row r="107">
      <c r="A107" s="11" t="inlineStr">
        <is>
          <t>MA-02</t>
        </is>
      </c>
      <c r="B107" s="9" t="inlineStr">
        <is>
          <t>Feature</t>
        </is>
      </c>
      <c r="C107" s="15" t="inlineStr">
        <is>
          <t>Messenger AI agent</t>
        </is>
      </c>
      <c r="D107" s="15" t="inlineStr">
        <is>
          <t>—</t>
        </is>
      </c>
      <c r="E107" s="15" t="inlineStr">
        <is>
          <t>—</t>
        </is>
      </c>
      <c r="F107" s="15" t="inlineStr">
        <is>
          <t>Same with the wrong token / no hub.mode</t>
        </is>
      </c>
      <c r="G107" s="15" t="inlineStr">
        <is>
          <t>403 / the SPA HTML (staff page)</t>
        </is>
      </c>
      <c r="H107" s="9" t="inlineStr">
        <is>
          <t>P1</t>
        </is>
      </c>
      <c r="I107" s="15" t="inlineStr">
        <is>
          <t>REQ-INQ-002</t>
        </is>
      </c>
      <c r="J107" s="15" t="inlineStr">
        <is>
          <t>REQ-INQ-002</t>
        </is>
      </c>
      <c r="K107" s="9" t="inlineStr"/>
      <c r="L107" s="9" t="inlineStr">
        <is>
          <t>Expected to pass</t>
        </is>
      </c>
      <c r="M107" s="9" t="inlineStr">
        <is>
          <t>N</t>
        </is>
      </c>
      <c r="N107" s="16" t="inlineStr">
        <is>
          <t>Pass</t>
        </is>
      </c>
      <c r="O107" s="17" t="inlineStr">
        <is>
          <t>Wrong token → 403. No hub.mode → 200 with the SPA HTML (&lt;title&gt;Capitol Restaurant&lt;/title&gt;)</t>
        </is>
      </c>
      <c r="P107" s="17" t="n"/>
      <c r="Q107" s="17" t="inlineStr">
        <is>
          <t>Claude (automated, no account)</t>
        </is>
      </c>
      <c r="R107" s="18" t="n">
        <v>46302</v>
      </c>
      <c r="S107" s="16" t="inlineStr">
        <is>
          <t>Live (Railway main); repo db90eeb</t>
        </is>
      </c>
      <c r="T107" s="17" t="n"/>
      <c r="U107" s="17" t="inlineStr">
        <is>
          <t>Test</t>
        </is>
      </c>
    </row>
    <row r="108">
      <c r="A108" s="11" t="inlineStr">
        <is>
          <t>MA-03</t>
        </is>
      </c>
      <c r="B108" s="9" t="inlineStr">
        <is>
          <t>Feature</t>
        </is>
      </c>
      <c r="C108" s="15" t="inlineStr">
        <is>
          <t>Messenger AI agent</t>
        </is>
      </c>
      <c r="D108" s="15" t="inlineStr">
        <is>
          <t>Test FB user</t>
        </is>
      </c>
      <c r="E108" s="15" t="inlineStr">
        <is>
          <t>—</t>
        </is>
      </c>
      <c r="F108" s="15" t="inlineStr">
        <is>
          <t>Send hi to the Page</t>
        </is>
      </c>
      <c r="G108" s="15" t="inlineStr">
        <is>
          <t>Greeting plus quick replies: Function Room, Catering, Delivery</t>
        </is>
      </c>
      <c r="H108" s="9" t="inlineStr">
        <is>
          <t>P1</t>
        </is>
      </c>
      <c r="I108" s="15" t="inlineStr">
        <is>
          <t>§4.1.2-3 (ack ≤ 30 s)</t>
        </is>
      </c>
      <c r="J108" s="15" t="inlineStr">
        <is>
          <t>SEQ-INQ</t>
        </is>
      </c>
      <c r="K108" s="9" t="inlineStr"/>
      <c r="L108" s="9" t="inlineStr">
        <is>
          <t>Expected to pass</t>
        </is>
      </c>
      <c r="M108" s="9" t="inlineStr">
        <is>
          <t>N</t>
        </is>
      </c>
      <c r="N108" s="16" t="inlineStr">
        <is>
          <t>Not Run</t>
        </is>
      </c>
      <c r="O108" s="17" t="n"/>
      <c r="P108" s="17" t="n"/>
      <c r="Q108" s="17" t="n"/>
      <c r="R108" s="18" t="n"/>
      <c r="S108" s="16" t="n"/>
      <c r="T108" s="17" t="n"/>
      <c r="U108" s="17" t="n"/>
    </row>
    <row r="109">
      <c r="A109" s="11" t="inlineStr">
        <is>
          <t>MA-04</t>
        </is>
      </c>
      <c r="B109" s="9" t="inlineStr">
        <is>
          <t>Feature</t>
        </is>
      </c>
      <c r="C109" s="15" t="inlineStr">
        <is>
          <t>Messenger AI agent</t>
        </is>
      </c>
      <c r="D109" s="15" t="inlineStr">
        <is>
          <t>Test FB user</t>
        </is>
      </c>
      <c r="E109" s="15" t="inlineStr">
        <is>
          <t>MA-03</t>
        </is>
      </c>
      <c r="F109" s="15" t="inlineStr">
        <is>
          <t>Tap Catering → reply with the requested details (name, 09171234567, event, date, guests, package)</t>
        </is>
      </c>
      <c r="G109" s="15" t="inlineStr">
        <is>
          <t>The bot confirms the request. A row appears on /inquiry-bot under Requests with type Catering. messenger_sessions holds the PSID with a state/draft while the form is in progress</t>
        </is>
      </c>
      <c r="H109" s="9" t="inlineStr">
        <is>
          <t>P1</t>
        </is>
      </c>
      <c r="I109" s="15" t="inlineStr">
        <is>
          <t>REQ-INQ-002</t>
        </is>
      </c>
      <c r="J109" s="15" t="inlineStr">
        <is>
          <t>REQ-INQ-002</t>
        </is>
      </c>
      <c r="K109" s="9" t="inlineStr"/>
      <c r="L109" s="9" t="inlineStr">
        <is>
          <t>Expected to pass</t>
        </is>
      </c>
      <c r="M109" s="9" t="inlineStr">
        <is>
          <t>N</t>
        </is>
      </c>
      <c r="N109" s="16" t="inlineStr">
        <is>
          <t>Not Run</t>
        </is>
      </c>
      <c r="O109" s="17" t="n"/>
      <c r="P109" s="17" t="n"/>
      <c r="Q109" s="17" t="n"/>
      <c r="R109" s="18" t="n"/>
      <c r="S109" s="16" t="n"/>
      <c r="T109" s="17" t="n"/>
      <c r="U109" s="17" t="n"/>
    </row>
    <row r="110">
      <c r="A110" s="11" t="inlineStr">
        <is>
          <t>MA-05</t>
        </is>
      </c>
      <c r="B110" s="9" t="inlineStr">
        <is>
          <t>Feature</t>
        </is>
      </c>
      <c r="C110" s="15" t="inlineStr">
        <is>
          <t>Messenger AI agent</t>
        </is>
      </c>
      <c r="D110" s="15" t="inlineStr">
        <is>
          <t>Test FB user</t>
        </is>
      </c>
      <c r="E110" s="15" t="inlineStr">
        <is>
          <t>—</t>
        </is>
      </c>
      <c r="F110" s="15" t="inlineStr">
        <is>
          <t>Send What is the capital of France?</t>
        </is>
      </c>
      <c r="G110" s="15" t="inlineStr">
        <is>
          <t>Off-topic message. No inquiry row is created</t>
        </is>
      </c>
      <c r="H110" s="9" t="inlineStr">
        <is>
          <t>P2</t>
        </is>
      </c>
      <c r="I110" s="15" t="inlineStr">
        <is>
          <t>—</t>
        </is>
      </c>
      <c r="J110" s="15" t="inlineStr">
        <is>
          <t>BRIEF</t>
        </is>
      </c>
      <c r="K110" s="9" t="inlineStr"/>
      <c r="L110" s="9" t="inlineStr">
        <is>
          <t>Expected to pass</t>
        </is>
      </c>
      <c r="M110" s="9" t="inlineStr">
        <is>
          <t>N</t>
        </is>
      </c>
      <c r="N110" s="16" t="inlineStr">
        <is>
          <t>Not Run</t>
        </is>
      </c>
      <c r="O110" s="17" t="n"/>
      <c r="P110" s="17" t="n"/>
      <c r="Q110" s="17" t="n"/>
      <c r="R110" s="18" t="n"/>
      <c r="S110" s="16" t="n"/>
      <c r="T110" s="17" t="n"/>
      <c r="U110" s="17" t="n"/>
    </row>
    <row r="111">
      <c r="A111" s="11" t="inlineStr">
        <is>
          <t>MA-06</t>
        </is>
      </c>
      <c r="B111" s="9" t="inlineStr">
        <is>
          <t>Feature</t>
        </is>
      </c>
      <c r="C111" s="15" t="inlineStr">
        <is>
          <t>Messenger AI agent</t>
        </is>
      </c>
      <c r="D111" s="15" t="inlineStr">
        <is>
          <t>Test FB user</t>
        </is>
      </c>
      <c r="E111" s="15" t="inlineStr">
        <is>
          <t>—</t>
        </is>
      </c>
      <c r="F111" s="15" t="inlineStr">
        <is>
          <t>Ask something not in the known facts (Do you accept pets?)</t>
        </is>
      </c>
      <c r="G111" s="15" t="inlineStr">
        <is>
          <t>Handover message ("Our staff will review…"). The row type is Unanswered Question, status New</t>
        </is>
      </c>
      <c r="H111" s="9" t="inlineStr">
        <is>
          <t>P1</t>
        </is>
      </c>
      <c r="I111" s="15" t="inlineStr">
        <is>
          <t>REQ-INQ-002, §4.1.2-4</t>
        </is>
      </c>
      <c r="J111" s="15" t="inlineStr">
        <is>
          <t>REQ-INQ-002, SEQ-INQ</t>
        </is>
      </c>
      <c r="K111" s="9" t="inlineStr"/>
      <c r="L111" s="9" t="inlineStr">
        <is>
          <t>Expected to pass</t>
        </is>
      </c>
      <c r="M111" s="9" t="inlineStr">
        <is>
          <t>N</t>
        </is>
      </c>
      <c r="N111" s="16" t="inlineStr">
        <is>
          <t>Not Run</t>
        </is>
      </c>
      <c r="O111" s="17" t="n"/>
      <c r="P111" s="17" t="n"/>
      <c r="Q111" s="17" t="n"/>
      <c r="R111" s="18" t="n"/>
      <c r="S111" s="16" t="n"/>
      <c r="T111" s="17" t="n"/>
      <c r="U111" s="17" t="n"/>
    </row>
    <row r="112">
      <c r="A112" s="11" t="inlineStr">
        <is>
          <t>MA-07</t>
        </is>
      </c>
      <c r="B112" s="9" t="inlineStr">
        <is>
          <t>Feature</t>
        </is>
      </c>
      <c r="C112" s="15" t="inlineStr">
        <is>
          <t>Messenger AI agent</t>
        </is>
      </c>
      <c r="D112" s="15" t="inlineStr">
        <is>
          <t>Test FB user</t>
        </is>
      </c>
      <c r="E112" s="15" t="inlineStr">
        <is>
          <t>—</t>
        </is>
      </c>
      <c r="F112" s="15" t="inlineStr">
        <is>
          <t>Send I want to order 2 Buttered Chicken</t>
        </is>
      </c>
      <c r="G112" s="15" t="inlineStr">
        <is>
          <t>The bot says it cannot take orders in chat and links the website. No delivery_orders row (source = messenger) is created. This differs from the brief, which expects Messenger orders → F-11</t>
        </is>
      </c>
      <c r="H112" s="9" t="inlineStr">
        <is>
          <t>P1</t>
        </is>
      </c>
      <c r="I112" s="15" t="inlineStr">
        <is>
          <t>— (brief vs app)</t>
        </is>
      </c>
      <c r="J112" s="15" t="inlineStr">
        <is>
          <t>BRIEF</t>
        </is>
      </c>
      <c r="K112" s="9" t="inlineStr">
        <is>
          <t>F-11</t>
        </is>
      </c>
      <c r="L112" s="9" t="inlineStr">
        <is>
          <t>Known deviation</t>
        </is>
      </c>
      <c r="M112" s="9" t="inlineStr">
        <is>
          <t>N</t>
        </is>
      </c>
      <c r="N112" s="16" t="inlineStr">
        <is>
          <t>Fail</t>
        </is>
      </c>
      <c r="O112" s="17" t="inlineStr">
        <is>
          <t>place_order intent always answers with the 'order on the website' message; no delivery_orders insert (source = messenger) exists</t>
        </is>
      </c>
      <c r="P112" s="17" t="inlineStr">
        <is>
          <t>F-11</t>
        </is>
      </c>
      <c r="Q112" s="17" t="inlineStr">
        <is>
          <t>Claude (inspection)</t>
        </is>
      </c>
      <c r="R112" s="18" t="n">
        <v>46302</v>
      </c>
      <c r="S112" s="16" t="inlineStr">
        <is>
          <t>Live bundle index-Bq1AsZVl.js; source 010694c</t>
        </is>
      </c>
      <c r="T112" s="17" t="inlineStr">
        <is>
          <t>Inspection result; re-confirm in the manual run</t>
        </is>
      </c>
      <c r="U112" s="17" t="inlineStr">
        <is>
          <t>Inspection</t>
        </is>
      </c>
    </row>
    <row r="113">
      <c r="A113" s="11" t="inlineStr">
        <is>
          <t>MA-08</t>
        </is>
      </c>
      <c r="B113" s="9" t="inlineStr">
        <is>
          <t>Feature</t>
        </is>
      </c>
      <c r="C113" s="15" t="inlineStr">
        <is>
          <t>Messenger AI agent</t>
        </is>
      </c>
      <c r="D113" s="15" t="inlineStr">
        <is>
          <t>Test FB user</t>
        </is>
      </c>
      <c r="E113" s="15" t="inlineStr">
        <is>
          <t>—</t>
        </is>
      </c>
      <c r="F113" s="15" t="inlineStr">
        <is>
          <t>Send a sticker/photo</t>
        </is>
      </c>
      <c r="G113" s="15" t="inlineStr">
        <is>
          <t>"I can only read text…"</t>
        </is>
      </c>
      <c r="H113" s="9" t="inlineStr">
        <is>
          <t>P2</t>
        </is>
      </c>
      <c r="I113" s="15" t="inlineStr">
        <is>
          <t>—</t>
        </is>
      </c>
      <c r="J113" s="15" t="inlineStr">
        <is>
          <t>BRIEF</t>
        </is>
      </c>
      <c r="K113" s="9" t="inlineStr"/>
      <c r="L113" s="9" t="inlineStr">
        <is>
          <t>Expected to pass</t>
        </is>
      </c>
      <c r="M113" s="9" t="inlineStr">
        <is>
          <t>N</t>
        </is>
      </c>
      <c r="N113" s="16" t="inlineStr">
        <is>
          <t>Not Run</t>
        </is>
      </c>
      <c r="O113" s="17" t="n"/>
      <c r="P113" s="17" t="n"/>
      <c r="Q113" s="17" t="n"/>
      <c r="R113" s="18" t="n"/>
      <c r="S113" s="16" t="n"/>
      <c r="T113" s="17" t="n"/>
      <c r="U113" s="17" t="n"/>
    </row>
    <row r="114">
      <c r="A114" s="11" t="inlineStr">
        <is>
          <t>MA-09</t>
        </is>
      </c>
      <c r="B114" s="9" t="inlineStr">
        <is>
          <t>Feature</t>
        </is>
      </c>
      <c r="C114" s="15" t="inlineStr">
        <is>
          <t>Messenger AI agent</t>
        </is>
      </c>
      <c r="D114" s="15" t="inlineStr">
        <is>
          <t>Test FB user</t>
        </is>
      </c>
      <c r="E114" s="15" t="inlineStr">
        <is>
          <t>—</t>
        </is>
      </c>
      <c r="F114" s="15" t="inlineStr">
        <is>
          <t>Send 3 messages within 2 s</t>
        </is>
      </c>
      <c r="G114" s="15" t="inlineStr">
        <is>
          <t>Replies come in order, and no draft is lost (per-sender queue)</t>
        </is>
      </c>
      <c r="H114" s="9" t="inlineStr">
        <is>
          <t>P2</t>
        </is>
      </c>
      <c r="I114" s="15" t="inlineStr">
        <is>
          <t>—</t>
        </is>
      </c>
      <c r="J114" s="15" t="inlineStr">
        <is>
          <t>BRIEF</t>
        </is>
      </c>
      <c r="K114" s="9" t="inlineStr"/>
      <c r="L114" s="9" t="inlineStr">
        <is>
          <t>Expected to pass</t>
        </is>
      </c>
      <c r="M114" s="9" t="inlineStr">
        <is>
          <t>N</t>
        </is>
      </c>
      <c r="N114" s="16" t="inlineStr">
        <is>
          <t>Not Run</t>
        </is>
      </c>
      <c r="O114" s="17" t="n"/>
      <c r="P114" s="17" t="n"/>
      <c r="Q114" s="17" t="n"/>
      <c r="R114" s="18" t="n"/>
      <c r="S114" s="16" t="n"/>
      <c r="T114" s="17" t="n"/>
      <c r="U114" s="17" t="n"/>
    </row>
    <row r="115">
      <c r="A115" s="11" t="inlineStr">
        <is>
          <t>PR-01</t>
        </is>
      </c>
      <c r="B115" s="9" t="inlineStr">
        <is>
          <t>Feature</t>
        </is>
      </c>
      <c r="C115" s="15" t="inlineStr">
        <is>
          <t>Profile</t>
        </is>
      </c>
      <c r="D115" s="15" t="inlineStr">
        <is>
          <t>Guest</t>
        </is>
      </c>
      <c r="E115" s="15" t="inlineStr">
        <is>
          <t>—</t>
        </is>
      </c>
      <c r="F115" s="15" t="inlineStr">
        <is>
          <t>Open /profile</t>
        </is>
      </c>
      <c r="G115" s="15" t="inlineStr">
        <is>
          <t>"Sign in to view and manage your profile details." plus a sign-in button. No data</t>
        </is>
      </c>
      <c r="H115" s="9" t="inlineStr">
        <is>
          <t>P1</t>
        </is>
      </c>
      <c r="I115" s="15" t="inlineStr">
        <is>
          <t>§5.3</t>
        </is>
      </c>
      <c r="J115" s="15" t="inlineStr">
        <is>
          <t>NFR-SEC-02</t>
        </is>
      </c>
      <c r="K115" s="9" t="inlineStr"/>
      <c r="L115" s="9" t="inlineStr">
        <is>
          <t>Expected to pass</t>
        </is>
      </c>
      <c r="M115" s="9" t="inlineStr">
        <is>
          <t>N</t>
        </is>
      </c>
      <c r="N115" s="16" t="inlineStr">
        <is>
          <t>Not Run</t>
        </is>
      </c>
      <c r="O115" s="17" t="n"/>
      <c r="P115" s="17" t="n"/>
      <c r="Q115" s="17" t="n"/>
      <c r="R115" s="18" t="n"/>
      <c r="S115" s="16" t="n"/>
      <c r="T115" s="17" t="n"/>
      <c r="U115" s="17" t="n"/>
    </row>
    <row r="116">
      <c r="A116" s="11" t="inlineStr">
        <is>
          <t>PR-02</t>
        </is>
      </c>
      <c r="B116" s="9" t="inlineStr">
        <is>
          <t>Feature</t>
        </is>
      </c>
      <c r="C116" s="15" t="inlineStr">
        <is>
          <t>Profile</t>
        </is>
      </c>
      <c r="D116" s="15" t="inlineStr">
        <is>
          <t>CUST</t>
        </is>
      </c>
      <c r="E116" s="15" t="inlineStr">
        <is>
          <t>—</t>
        </is>
      </c>
      <c r="F116" s="15" t="inlineStr">
        <is>
          <t>Contact details → phone 0917 → Save</t>
        </is>
      </c>
      <c r="G116" s="15" t="inlineStr">
        <is>
          <t>Phone validation error. Not saved</t>
        </is>
      </c>
      <c r="H116" s="9" t="inlineStr">
        <is>
          <t>P2</t>
        </is>
      </c>
      <c r="I116" s="15" t="inlineStr">
        <is>
          <t>—</t>
        </is>
      </c>
      <c r="J116" s="15" t="inlineStr">
        <is>
          <t>BRIEF</t>
        </is>
      </c>
      <c r="K116" s="9" t="inlineStr"/>
      <c r="L116" s="9" t="inlineStr">
        <is>
          <t>Expected to pass</t>
        </is>
      </c>
      <c r="M116" s="9" t="inlineStr">
        <is>
          <t>N</t>
        </is>
      </c>
      <c r="N116" s="16" t="inlineStr">
        <is>
          <t>Not Run</t>
        </is>
      </c>
      <c r="O116" s="17" t="n"/>
      <c r="P116" s="17" t="n"/>
      <c r="Q116" s="17" t="n"/>
      <c r="R116" s="18" t="n"/>
      <c r="S116" s="16" t="n"/>
      <c r="T116" s="17" t="n"/>
      <c r="U116" s="17" t="n"/>
    </row>
    <row r="117">
      <c r="A117" s="11" t="inlineStr">
        <is>
          <t>PR-03</t>
        </is>
      </c>
      <c r="B117" s="9" t="inlineStr">
        <is>
          <t>Feature</t>
        </is>
      </c>
      <c r="C117" s="15" t="inlineStr">
        <is>
          <t>Profile</t>
        </is>
      </c>
      <c r="D117" s="15" t="inlineStr">
        <is>
          <t>CUST</t>
        </is>
      </c>
      <c r="E117" s="15" t="inlineStr">
        <is>
          <t>—</t>
        </is>
      </c>
      <c r="F117" s="15" t="inlineStr">
        <is>
          <t>Save phone 09171234567 and a Home address. Then open the function room form</t>
        </is>
      </c>
      <c r="G117" s="15" t="inlineStr">
        <is>
          <t>Contact prefilled with 09171234567</t>
        </is>
      </c>
      <c r="H117" s="9" t="inlineStr">
        <is>
          <t>P2</t>
        </is>
      </c>
      <c r="I117" s="15" t="inlineStr">
        <is>
          <t>§5.4 Usability</t>
        </is>
      </c>
      <c r="J117" s="15" t="inlineStr">
        <is>
          <t>NFR-USE-01</t>
        </is>
      </c>
      <c r="K117" s="9" t="inlineStr"/>
      <c r="L117" s="9" t="inlineStr">
        <is>
          <t>Expected to pass</t>
        </is>
      </c>
      <c r="M117" s="9" t="inlineStr">
        <is>
          <t>N</t>
        </is>
      </c>
      <c r="N117" s="16" t="inlineStr">
        <is>
          <t>Not Run</t>
        </is>
      </c>
      <c r="O117" s="17" t="n"/>
      <c r="P117" s="17" t="n"/>
      <c r="Q117" s="17" t="n"/>
      <c r="R117" s="18" t="n"/>
      <c r="S117" s="16" t="n"/>
      <c r="T117" s="17" t="n"/>
      <c r="U117" s="17" t="n"/>
    </row>
    <row r="118">
      <c r="A118" s="11" t="inlineStr">
        <is>
          <t>PR-04</t>
        </is>
      </c>
      <c r="B118" s="9" t="inlineStr">
        <is>
          <t>Feature</t>
        </is>
      </c>
      <c r="C118" s="15" t="inlineStr">
        <is>
          <t>Profile</t>
        </is>
      </c>
      <c r="D118" s="15" t="inlineStr">
        <is>
          <t>CUST</t>
        </is>
      </c>
      <c r="E118" s="15" t="inlineStr">
        <is>
          <t>CUST-B has bookings</t>
        </is>
      </c>
      <c r="F118" s="15" t="inlineStr">
        <is>
          <t>Log in as CUST → My bookings</t>
        </is>
      </c>
      <c r="G118" s="15" t="inlineStr">
        <is>
          <t>Only CUST's own bookings are listed</t>
        </is>
      </c>
      <c r="H118" s="9" t="inlineStr">
        <is>
          <t>P1</t>
        </is>
      </c>
      <c r="I118" s="15" t="inlineStr">
        <is>
          <t>§5.3, REQ-ADM-001</t>
        </is>
      </c>
      <c r="J118" s="15" t="inlineStr">
        <is>
          <t>REQ-ADM-001, NFR-SEC-02</t>
        </is>
      </c>
      <c r="K118" s="9" t="inlineStr"/>
      <c r="L118" s="9" t="inlineStr">
        <is>
          <t>Expected to pass</t>
        </is>
      </c>
      <c r="M118" s="9" t="inlineStr">
        <is>
          <t>N</t>
        </is>
      </c>
      <c r="N118" s="16" t="inlineStr">
        <is>
          <t>Not Run</t>
        </is>
      </c>
      <c r="O118" s="17" t="n"/>
      <c r="P118" s="17" t="n"/>
      <c r="Q118" s="17" t="n"/>
      <c r="R118" s="18" t="n"/>
      <c r="S118" s="16" t="n"/>
      <c r="T118" s="17" t="n"/>
      <c r="U118" s="17" t="n"/>
    </row>
    <row r="119">
      <c r="A119" s="11" t="inlineStr">
        <is>
          <t>PR-05</t>
        </is>
      </c>
      <c r="B119" s="9" t="inlineStr">
        <is>
          <t>Feature</t>
        </is>
      </c>
      <c r="C119" s="15" t="inlineStr">
        <is>
          <t>Profile</t>
        </is>
      </c>
      <c r="D119" s="15" t="inlineStr">
        <is>
          <t>CUST</t>
        </is>
      </c>
      <c r="E119" s="15" t="inlineStr">
        <is>
          <t>New account</t>
        </is>
      </c>
      <c r="F119" s="15" t="inlineStr">
        <is>
          <t>My bookings</t>
        </is>
      </c>
      <c r="G119" s="15" t="inlineStr">
        <is>
          <t>Empty state message, no error</t>
        </is>
      </c>
      <c r="H119" s="9" t="inlineStr">
        <is>
          <t>P2</t>
        </is>
      </c>
      <c r="I119" s="15" t="inlineStr">
        <is>
          <t>—</t>
        </is>
      </c>
      <c r="J119" s="15" t="inlineStr">
        <is>
          <t>BRIEF</t>
        </is>
      </c>
      <c r="K119" s="9" t="inlineStr"/>
      <c r="L119" s="9" t="inlineStr">
        <is>
          <t>Expected to pass</t>
        </is>
      </c>
      <c r="M119" s="9" t="inlineStr">
        <is>
          <t>N</t>
        </is>
      </c>
      <c r="N119" s="16" t="inlineStr">
        <is>
          <t>Not Run</t>
        </is>
      </c>
      <c r="O119" s="17" t="n"/>
      <c r="P119" s="17" t="n"/>
      <c r="Q119" s="17" t="n"/>
      <c r="R119" s="18" t="n"/>
      <c r="S119" s="16" t="n"/>
      <c r="T119" s="17" t="n"/>
      <c r="U119" s="17" t="n"/>
    </row>
    <row r="120">
      <c r="A120" s="11" t="inlineStr">
        <is>
          <t>PR-06</t>
        </is>
      </c>
      <c r="B120" s="9" t="inlineStr">
        <is>
          <t>Feature</t>
        </is>
      </c>
      <c r="C120" s="15" t="inlineStr">
        <is>
          <t>Profile</t>
        </is>
      </c>
      <c r="D120" s="15" t="inlineStr">
        <is>
          <t>CUST</t>
        </is>
      </c>
      <c r="E120" s="15" t="inlineStr">
        <is>
          <t>Order Out for delivery</t>
        </is>
      </c>
      <c r="F120" s="15" t="inlineStr">
        <is>
          <t>Tracker → enter the reference → view the map</t>
        </is>
      </c>
      <c r="G120" s="15" t="inlineStr">
        <is>
          <t>The map renders the restaurant and the address pin, with a ≈ N min drive estimate (or a graceful fallback if geocoding fails)</t>
        </is>
      </c>
      <c r="H120" s="9" t="inlineStr">
        <is>
          <t>P2</t>
        </is>
      </c>
      <c r="I120" s="15" t="inlineStr">
        <is>
          <t>REQ-DEL-004</t>
        </is>
      </c>
      <c r="J120" s="15" t="inlineStr">
        <is>
          <t>REQ-DEL-004</t>
        </is>
      </c>
      <c r="K120" s="9" t="inlineStr"/>
      <c r="L120" s="9" t="inlineStr">
        <is>
          <t>Expected to pass</t>
        </is>
      </c>
      <c r="M120" s="9" t="inlineStr">
        <is>
          <t>N</t>
        </is>
      </c>
      <c r="N120" s="16" t="inlineStr">
        <is>
          <t>Not Run</t>
        </is>
      </c>
      <c r="O120" s="17" t="n"/>
      <c r="P120" s="17" t="n"/>
      <c r="Q120" s="17" t="n"/>
      <c r="R120" s="18" t="n"/>
      <c r="S120" s="16" t="n"/>
      <c r="T120" s="17" t="n"/>
      <c r="U120" s="17" t="n"/>
    </row>
    <row r="121">
      <c r="A121" s="11" t="inlineStr">
        <is>
          <t>PR-07</t>
        </is>
      </c>
      <c r="B121" s="9" t="inlineStr">
        <is>
          <t>Feature</t>
        </is>
      </c>
      <c r="C121" s="15" t="inlineStr">
        <is>
          <t>Profile</t>
        </is>
      </c>
      <c r="D121" s="15" t="inlineStr">
        <is>
          <t>CUST</t>
        </is>
      </c>
      <c r="E121" s="15" t="inlineStr">
        <is>
          <t>—</t>
        </is>
      </c>
      <c r="F121" s="15" t="inlineStr">
        <is>
          <t>Tracker → reference CAP-9999</t>
        </is>
      </c>
      <c r="G121" s="15" t="inlineStr">
        <is>
          <t>"We could not find that reference."</t>
        </is>
      </c>
      <c r="H121" s="9" t="inlineStr">
        <is>
          <t>P2</t>
        </is>
      </c>
      <c r="I121" s="15" t="inlineStr">
        <is>
          <t>REQ-DEL-004</t>
        </is>
      </c>
      <c r="J121" s="15" t="inlineStr">
        <is>
          <t>REQ-DEL-004</t>
        </is>
      </c>
      <c r="K121" s="9" t="inlineStr"/>
      <c r="L121" s="9" t="inlineStr">
        <is>
          <t>Expected to pass</t>
        </is>
      </c>
      <c r="M121" s="9" t="inlineStr">
        <is>
          <t>N</t>
        </is>
      </c>
      <c r="N121" s="16" t="inlineStr">
        <is>
          <t>Not Run</t>
        </is>
      </c>
      <c r="O121" s="17" t="n"/>
      <c r="P121" s="17" t="n"/>
      <c r="Q121" s="17" t="n"/>
      <c r="R121" s="18" t="n"/>
      <c r="S121" s="16" t="n"/>
      <c r="T121" s="17" t="n"/>
      <c r="U121" s="17" t="n"/>
    </row>
    <row r="122">
      <c r="A122" s="11" t="inlineStr">
        <is>
          <t>OP-01</t>
        </is>
      </c>
      <c r="B122" s="9" t="inlineStr">
        <is>
          <t>Feature</t>
        </is>
      </c>
      <c r="C122" s="15" t="inlineStr">
        <is>
          <t>Operations dashboard</t>
        </is>
      </c>
      <c r="D122" s="15" t="inlineStr">
        <is>
          <t>FOH</t>
        </is>
      </c>
      <c r="E122" s="15" t="inlineStr">
        <is>
          <t>/operations open in BrA</t>
        </is>
      </c>
      <c r="F122" s="15" t="inlineStr">
        <is>
          <t>In BrB, CUST books a buffet slot</t>
        </is>
      </c>
      <c r="G122" s="15" t="inlineStr">
        <is>
          <t>A new row appears in Catering bookings in BrA without a refresh. Catering pending +1</t>
        </is>
      </c>
      <c r="H122" s="9" t="inlineStr">
        <is>
          <t>P1</t>
        </is>
      </c>
      <c r="I122" s="15" t="inlineStr">
        <is>
          <t>REQ-ADM-002, §3.4</t>
        </is>
      </c>
      <c r="J122" s="15" t="inlineStr">
        <is>
          <t>REQ-ADM-002, IF-COM-01</t>
        </is>
      </c>
      <c r="K122" s="9" t="inlineStr"/>
      <c r="L122" s="9" t="inlineStr">
        <is>
          <t>Expected to pass</t>
        </is>
      </c>
      <c r="M122" s="9" t="inlineStr">
        <is>
          <t>N</t>
        </is>
      </c>
      <c r="N122" s="16" t="inlineStr">
        <is>
          <t>Not Run</t>
        </is>
      </c>
      <c r="O122" s="17" t="n"/>
      <c r="P122" s="17" t="n"/>
      <c r="Q122" s="17" t="n"/>
      <c r="R122" s="18" t="n"/>
      <c r="S122" s="16" t="n"/>
      <c r="T122" s="17" t="n"/>
      <c r="U122" s="17" t="n"/>
    </row>
    <row r="123">
      <c r="A123" s="11" t="inlineStr">
        <is>
          <t>OP-02</t>
        </is>
      </c>
      <c r="B123" s="9" t="inlineStr">
        <is>
          <t>Feature</t>
        </is>
      </c>
      <c r="C123" s="15" t="inlineStr">
        <is>
          <t>Operations dashboard</t>
        </is>
      </c>
      <c r="D123" s="15" t="inlineStr">
        <is>
          <t>FOH</t>
        </is>
      </c>
      <c r="E123" s="15" t="inlineStr">
        <is>
          <t>—</t>
        </is>
      </c>
      <c r="F123" s="15" t="inlineStr">
        <is>
          <t>Open a function booking → Status Pending → Confirmed → Save → Timeline tab</t>
        </is>
      </c>
      <c r="G123" s="15" t="inlineStr">
        <is>
          <t>The timeline appends Confirmed with a timestamp. The customer's profile shows it after a refresh</t>
        </is>
      </c>
      <c r="H123" s="9" t="inlineStr">
        <is>
          <t>P1</t>
        </is>
      </c>
      <c r="I123" s="15" t="inlineStr">
        <is>
          <t>§4.2.2-4, REQ-ADM-002</t>
        </is>
      </c>
      <c r="J123" s="15" t="inlineStr">
        <is>
          <t>REQ-ADM-002, SEQ-RES</t>
        </is>
      </c>
      <c r="K123" s="9" t="inlineStr"/>
      <c r="L123" s="9" t="inlineStr">
        <is>
          <t>Expected to pass</t>
        </is>
      </c>
      <c r="M123" s="9" t="inlineStr">
        <is>
          <t>N</t>
        </is>
      </c>
      <c r="N123" s="16" t="inlineStr">
        <is>
          <t>Not Run</t>
        </is>
      </c>
      <c r="O123" s="17" t="n"/>
      <c r="P123" s="17" t="n"/>
      <c r="Q123" s="17" t="n"/>
      <c r="R123" s="18" t="n"/>
      <c r="S123" s="16" t="n"/>
      <c r="T123" s="17" t="n"/>
      <c r="U123" s="17" t="n"/>
    </row>
    <row r="124">
      <c r="A124" s="11" t="inlineStr">
        <is>
          <t>OP-03</t>
        </is>
      </c>
      <c r="B124" s="9" t="inlineStr">
        <is>
          <t>Feature</t>
        </is>
      </c>
      <c r="C124" s="15" t="inlineStr">
        <is>
          <t>Operations dashboard</t>
        </is>
      </c>
      <c r="D124" s="15" t="inlineStr">
        <is>
          <t>FOH ×2</t>
        </is>
      </c>
      <c r="E124" s="15" t="inlineStr">
        <is>
          <t>Same booking open in BrA and BrB (both FOH)</t>
        </is>
      </c>
      <c r="F124" s="15" t="inlineStr">
        <is>
          <t>Save a change in A, then try to save in B</t>
        </is>
      </c>
      <c r="G124" s="15" t="inlineStr">
        <is>
          <t>B shows the "booking changed in another session" error. Save changes is disabled until reload</t>
        </is>
      </c>
      <c r="H124" s="9" t="inlineStr">
        <is>
          <t>P1</t>
        </is>
      </c>
      <c r="I124" s="15" t="inlineStr">
        <is>
          <t>REQ-RES-002</t>
        </is>
      </c>
      <c r="J124" s="15" t="inlineStr">
        <is>
          <t>REQ-RES-002</t>
        </is>
      </c>
      <c r="K124" s="9" t="inlineStr"/>
      <c r="L124" s="9" t="inlineStr">
        <is>
          <t>Expected to pass</t>
        </is>
      </c>
      <c r="M124" s="9" t="inlineStr">
        <is>
          <t>N</t>
        </is>
      </c>
      <c r="N124" s="16" t="inlineStr">
        <is>
          <t>Not Run</t>
        </is>
      </c>
      <c r="O124" s="17" t="n"/>
      <c r="P124" s="17" t="n"/>
      <c r="Q124" s="17" t="n"/>
      <c r="R124" s="18" t="n"/>
      <c r="S124" s="16" t="n"/>
      <c r="T124" s="17" t="n"/>
      <c r="U124" s="17" t="n"/>
    </row>
    <row r="125">
      <c r="A125" s="11" t="inlineStr">
        <is>
          <t>OP-04</t>
        </is>
      </c>
      <c r="B125" s="9" t="inlineStr">
        <is>
          <t>Feature</t>
        </is>
      </c>
      <c r="C125" s="15" t="inlineStr">
        <is>
          <t>Operations dashboard</t>
        </is>
      </c>
      <c r="D125" s="15" t="inlineStr">
        <is>
          <t>FOH</t>
        </is>
      </c>
      <c r="E125" s="15" t="inlineStr">
        <is>
          <t>Two bookings: X at COL 3:00 PM, Y at COL 3:30 PM</t>
        </is>
      </c>
      <c r="F125" s="15" t="inlineStr">
        <is>
          <t>Edit Y → time 3:00 PM → Save</t>
        </is>
      </c>
      <c r="G125" s="15" t="inlineStr">
        <is>
          <t>Rejected with the slot-taken error. Y is unchanged</t>
        </is>
      </c>
      <c r="H125" s="9" t="inlineStr">
        <is>
          <t>P1</t>
        </is>
      </c>
      <c r="I125" s="15" t="inlineStr">
        <is>
          <t>REQ-RES-002</t>
        </is>
      </c>
      <c r="J125" s="15" t="inlineStr">
        <is>
          <t>REQ-RES-002</t>
        </is>
      </c>
      <c r="K125" s="9" t="inlineStr"/>
      <c r="L125" s="9" t="inlineStr">
        <is>
          <t>Expected to pass</t>
        </is>
      </c>
      <c r="M125" s="9" t="inlineStr">
        <is>
          <t>N</t>
        </is>
      </c>
      <c r="N125" s="16" t="inlineStr">
        <is>
          <t>Not Run</t>
        </is>
      </c>
      <c r="O125" s="17" t="n"/>
      <c r="P125" s="17" t="n"/>
      <c r="Q125" s="17" t="n"/>
      <c r="R125" s="18" t="n"/>
      <c r="S125" s="16" t="n"/>
      <c r="T125" s="17" t="n"/>
      <c r="U125" s="17" t="n"/>
    </row>
    <row r="126">
      <c r="A126" s="11" t="inlineStr">
        <is>
          <t>OP-05</t>
        </is>
      </c>
      <c r="B126" s="9" t="inlineStr">
        <is>
          <t>Feature</t>
        </is>
      </c>
      <c r="C126" s="15" t="inlineStr">
        <is>
          <t>Operations dashboard</t>
        </is>
      </c>
      <c r="D126" s="15" t="inlineStr">
        <is>
          <t>FOH</t>
        </is>
      </c>
      <c r="E126" s="15" t="inlineStr">
        <is>
          <t>—</t>
        </is>
      </c>
      <c r="F126" s="15" t="inlineStr">
        <is>
          <t>Open a booking → no changes</t>
        </is>
      </c>
      <c r="G126" s="15" t="inlineStr">
        <is>
          <t>Save changes disabled</t>
        </is>
      </c>
      <c r="H126" s="9" t="inlineStr">
        <is>
          <t>P2</t>
        </is>
      </c>
      <c r="I126" s="15" t="inlineStr">
        <is>
          <t>—</t>
        </is>
      </c>
      <c r="J126" s="15" t="inlineStr">
        <is>
          <t>BRIEF</t>
        </is>
      </c>
      <c r="K126" s="9" t="inlineStr"/>
      <c r="L126" s="9" t="inlineStr">
        <is>
          <t>Expected to pass</t>
        </is>
      </c>
      <c r="M126" s="9" t="inlineStr">
        <is>
          <t>N</t>
        </is>
      </c>
      <c r="N126" s="16" t="inlineStr">
        <is>
          <t>Not Run</t>
        </is>
      </c>
      <c r="O126" s="17" t="n"/>
      <c r="P126" s="17" t="n"/>
      <c r="Q126" s="17" t="n"/>
      <c r="R126" s="18" t="n"/>
      <c r="S126" s="16" t="n"/>
      <c r="T126" s="17" t="n"/>
      <c r="U126" s="17" t="n"/>
    </row>
    <row r="127">
      <c r="A127" s="11" t="inlineStr">
        <is>
          <t>OP-06</t>
        </is>
      </c>
      <c r="B127" s="9" t="inlineStr">
        <is>
          <t>Feature</t>
        </is>
      </c>
      <c r="C127" s="15" t="inlineStr">
        <is>
          <t>Operations dashboard</t>
        </is>
      </c>
      <c r="D127" s="15" t="inlineStr">
        <is>
          <t>FOH</t>
        </is>
      </c>
      <c r="E127" s="15" t="inlineStr">
        <is>
          <t>—</t>
        </is>
      </c>
      <c r="F127" s="15" t="inlineStr">
        <is>
          <t>Search function bookings by reference / name</t>
        </is>
      </c>
      <c r="G127" s="15" t="inlineStr">
        <is>
          <t>Filtering works. Empty state when there are no matches</t>
        </is>
      </c>
      <c r="H127" s="9" t="inlineStr">
        <is>
          <t>P2</t>
        </is>
      </c>
      <c r="I127" s="15" t="inlineStr">
        <is>
          <t>—</t>
        </is>
      </c>
      <c r="J127" s="15" t="inlineStr">
        <is>
          <t>BRIEF</t>
        </is>
      </c>
      <c r="K127" s="9" t="inlineStr"/>
      <c r="L127" s="9" t="inlineStr">
        <is>
          <t>Expected to pass</t>
        </is>
      </c>
      <c r="M127" s="9" t="inlineStr">
        <is>
          <t>N</t>
        </is>
      </c>
      <c r="N127" s="16" t="inlineStr">
        <is>
          <t>Not Run</t>
        </is>
      </c>
      <c r="O127" s="17" t="n"/>
      <c r="P127" s="17" t="n"/>
      <c r="Q127" s="17" t="n"/>
      <c r="R127" s="18" t="n"/>
      <c r="S127" s="16" t="n"/>
      <c r="T127" s="17" t="n"/>
      <c r="U127" s="17" t="n"/>
    </row>
    <row r="128">
      <c r="A128" s="11" t="inlineStr">
        <is>
          <t>OP-07</t>
        </is>
      </c>
      <c r="B128" s="9" t="inlineStr">
        <is>
          <t>Feature</t>
        </is>
      </c>
      <c r="C128" s="15" t="inlineStr">
        <is>
          <t>Operations dashboard</t>
        </is>
      </c>
      <c r="D128" s="15" t="inlineStr">
        <is>
          <t>FOH</t>
        </is>
      </c>
      <c r="E128" s="15" t="inlineStr">
        <is>
          <t>Booking Cancelled</t>
        </is>
      </c>
      <c r="F128" s="15" t="inlineStr">
        <is>
          <t>Set it back to Pending while its slot is free</t>
        </is>
      </c>
      <c r="G128" s="15" t="inlineStr">
        <is>
          <t>Allowed. The slot is re-occupied (the calendar shows it as taken)</t>
        </is>
      </c>
      <c r="H128" s="9" t="inlineStr">
        <is>
          <t>P2</t>
        </is>
      </c>
      <c r="I128" s="15" t="inlineStr">
        <is>
          <t>REQ-RES-001</t>
        </is>
      </c>
      <c r="J128" s="15" t="inlineStr">
        <is>
          <t>REQ-RES-001</t>
        </is>
      </c>
      <c r="K128" s="9" t="inlineStr"/>
      <c r="L128" s="9" t="inlineStr">
        <is>
          <t>Expected to pass</t>
        </is>
      </c>
      <c r="M128" s="9" t="inlineStr">
        <is>
          <t>N</t>
        </is>
      </c>
      <c r="N128" s="16" t="inlineStr">
        <is>
          <t>Not Run</t>
        </is>
      </c>
      <c r="O128" s="17" t="n"/>
      <c r="P128" s="17" t="n"/>
      <c r="Q128" s="17" t="n"/>
      <c r="R128" s="18" t="n"/>
      <c r="S128" s="16" t="n"/>
      <c r="T128" s="17" t="n"/>
      <c r="U128" s="17" t="n"/>
    </row>
    <row r="129">
      <c r="A129" s="11" t="inlineStr">
        <is>
          <t>OP-08</t>
        </is>
      </c>
      <c r="B129" s="9" t="inlineStr">
        <is>
          <t>Feature</t>
        </is>
      </c>
      <c r="C129" s="15" t="inlineStr">
        <is>
          <t>Operations dashboard</t>
        </is>
      </c>
      <c r="D129" s="15" t="inlineStr">
        <is>
          <t>FOH</t>
        </is>
      </c>
      <c r="E129" s="15" t="inlineStr">
        <is>
          <t>—</t>
        </is>
      </c>
      <c r="F129" s="15" t="inlineStr">
        <is>
          <t>Stat cards: Active deliveries, Function pending, Catering pending, New inquiries, Total orders</t>
        </is>
      </c>
      <c r="G129" s="15" t="inlineStr">
        <is>
          <t>Counts match the tables below them. SRS widgets are Today's Deliveries, Room Occupancy, Pending Inquiries, Revenue Summary. The app has no room occupancy, and revenue appears only as a hint under Total orders → F-30</t>
        </is>
      </c>
      <c r="H129" s="9" t="inlineStr">
        <is>
          <t>P2</t>
        </is>
      </c>
      <c r="I129" s="15" t="inlineStr">
        <is>
          <t>REQ-ADM-002, §4.4.2-3</t>
        </is>
      </c>
      <c r="J129" s="15" t="inlineStr">
        <is>
          <t>REQ-ADM-002, SEQ-ADM</t>
        </is>
      </c>
      <c r="K129" s="9" t="inlineStr">
        <is>
          <t>F-30</t>
        </is>
      </c>
      <c r="L129" s="9" t="inlineStr">
        <is>
          <t>Known deviation</t>
        </is>
      </c>
      <c r="M129" s="9" t="inlineStr">
        <is>
          <t>N</t>
        </is>
      </c>
      <c r="N129" s="16" t="inlineStr">
        <is>
          <t>Fail</t>
        </is>
      </c>
      <c r="O129" s="17" t="inlineStr">
        <is>
          <t>Stat cards are Active deliveries, Function pending, Catering pending, New inquiries, Total orders; no Room Occupancy, revenue only as a hint</t>
        </is>
      </c>
      <c r="P129" s="17" t="inlineStr">
        <is>
          <t>F-30</t>
        </is>
      </c>
      <c r="Q129" s="17" t="inlineStr">
        <is>
          <t>Claude (inspection)</t>
        </is>
      </c>
      <c r="R129" s="18" t="n">
        <v>46302</v>
      </c>
      <c r="S129" s="16" t="inlineStr">
        <is>
          <t>Live bundle index-Bq1AsZVl.js; source 010694c</t>
        </is>
      </c>
      <c r="T129" s="17" t="inlineStr">
        <is>
          <t>Inspection result; re-confirm in the manual run</t>
        </is>
      </c>
      <c r="U129" s="17" t="inlineStr">
        <is>
          <t>Inspection</t>
        </is>
      </c>
    </row>
    <row r="130">
      <c r="A130" s="11" t="inlineStr">
        <is>
          <t>OP-09</t>
        </is>
      </c>
      <c r="B130" s="9" t="inlineStr">
        <is>
          <t>Feature</t>
        </is>
      </c>
      <c r="C130" s="15" t="inlineStr">
        <is>
          <t>Operations dashboard</t>
        </is>
      </c>
      <c r="D130" s="15" t="inlineStr">
        <is>
          <t>Manager (optional account) or Admin</t>
        </is>
      </c>
      <c r="E130" s="15" t="inlineStr">
        <is>
          <t>Some bookings and orders exist</t>
        </is>
      </c>
      <c r="F130" s="15" t="inlineStr">
        <is>
          <t>/dashboard → look for daily/monthly summaries of sales volume, direct vs. third-party breakdown and room utilisation, and an Export (CSV/PDF) action</t>
        </is>
      </c>
      <c r="G130" s="15" t="inlineStr">
        <is>
          <t>SRS: exportable daily/monthly reports. App: charts only (Orders by Source, Service Breakdown by Source, Order Volume Over Time, Inquiry Tracking). The source split partly covers direct vs. third-party, but there is no sales-value report, no room utilisation and no export → F-22</t>
        </is>
      </c>
      <c r="H130" s="9" t="inlineStr">
        <is>
          <t>P1</t>
        </is>
      </c>
      <c r="I130" s="15" t="inlineStr">
        <is>
          <t>REQ-ADM-004</t>
        </is>
      </c>
      <c r="J130" s="15" t="inlineStr">
        <is>
          <t>REQ-ADM-004</t>
        </is>
      </c>
      <c r="K130" s="9" t="inlineStr">
        <is>
          <t>F-22</t>
        </is>
      </c>
      <c r="L130" s="9" t="inlineStr">
        <is>
          <t>Known deviation</t>
        </is>
      </c>
      <c r="M130" s="9" t="inlineStr">
        <is>
          <t>N</t>
        </is>
      </c>
      <c r="N130" s="16" t="inlineStr">
        <is>
          <t>Fail</t>
        </is>
      </c>
      <c r="O130" s="17" t="inlineStr">
        <is>
          <t>Dashboard has charts only (Orders by Source, Service Breakdown, Order Volume, Inquiry Tracking); no sales-value or utilisation report and no export</t>
        </is>
      </c>
      <c r="P130" s="17" t="inlineStr">
        <is>
          <t>F-22</t>
        </is>
      </c>
      <c r="Q130" s="17" t="inlineStr">
        <is>
          <t>Claude (inspection)</t>
        </is>
      </c>
      <c r="R130" s="18" t="n">
        <v>46302</v>
      </c>
      <c r="S130" s="16" t="inlineStr">
        <is>
          <t>Live bundle index-Bq1AsZVl.js; source 010694c</t>
        </is>
      </c>
      <c r="T130" s="17" t="inlineStr">
        <is>
          <t>Inspection result; re-confirm in the manual run</t>
        </is>
      </c>
      <c r="U130" s="17" t="inlineStr">
        <is>
          <t>Inspection</t>
        </is>
      </c>
    </row>
    <row r="131">
      <c r="A131" s="11" t="inlineStr">
        <is>
          <t>NF-01</t>
        </is>
      </c>
      <c r="B131" s="9" t="inlineStr">
        <is>
          <t>Non-functional</t>
        </is>
      </c>
      <c r="C131" s="15" t="inlineStr">
        <is>
          <t>Non-functional</t>
        </is>
      </c>
      <c r="D131" s="15" t="inlineStr">
        <is>
          <t>Guest</t>
        </is>
      </c>
      <c r="E131" s="15" t="inlineStr">
        <is>
          <t>Chrome DevTools → Network → throttling Fast 4G, cache disabled</t>
        </is>
      </c>
      <c r="F131" s="15" t="inlineStr">
        <is>
          <t>Load /, /delivery/order and /function-rooms/reserve. Read Load at the bottom of the Network panel</t>
        </is>
      </c>
      <c r="G131" s="15" t="inlineStr">
        <is>
          <t>Each loads in ≤ 5 s</t>
        </is>
      </c>
      <c r="H131" s="9" t="inlineStr">
        <is>
          <t>P2</t>
        </is>
      </c>
      <c r="I131" s="15" t="inlineStr">
        <is>
          <t>§5.1 Response Time</t>
        </is>
      </c>
      <c r="J131" s="15" t="inlineStr">
        <is>
          <t>NFR-PERF-01</t>
        </is>
      </c>
      <c r="K131" s="9" t="inlineStr"/>
      <c r="L131" s="9" t="inlineStr">
        <is>
          <t>Expected to pass</t>
        </is>
      </c>
      <c r="M131" s="9" t="inlineStr">
        <is>
          <t>N</t>
        </is>
      </c>
      <c r="N131" s="16" t="inlineStr">
        <is>
          <t>Not Run</t>
        </is>
      </c>
      <c r="O131" s="17" t="n"/>
      <c r="P131" s="17" t="n"/>
      <c r="Q131" s="17" t="n"/>
      <c r="R131" s="18" t="n"/>
      <c r="S131" s="16" t="n"/>
      <c r="T131" s="17" t="inlineStr">
        <is>
          <t>Partial evidence (curl, broadband): HTML 0.48–0.55 s; JS bundle 1.04 MB in 0.93 s. Still needs the Chrome DevTools Fast 4G measurement</t>
        </is>
      </c>
      <c r="U131" s="17" t="n"/>
    </row>
    <row r="132">
      <c r="A132" s="11" t="inlineStr">
        <is>
          <t>NF-02</t>
        </is>
      </c>
      <c r="B132" s="9" t="inlineStr">
        <is>
          <t>Non-functional</t>
        </is>
      </c>
      <c r="C132" s="15" t="inlineStr">
        <is>
          <t>Non-functional</t>
        </is>
      </c>
      <c r="D132" s="15" t="inlineStr">
        <is>
          <t>CUST</t>
        </is>
      </c>
      <c r="E132" s="15" t="inlineStr">
        <is>
          <t>Same throttling</t>
        </is>
      </c>
      <c r="F132" s="15" t="inlineStr">
        <is>
          <t>Function room form → Check Availability →, time until the calendar shows slot states. Then Confirm, time until the success panel</t>
        </is>
      </c>
      <c r="G132" s="15" t="inlineStr">
        <is>
          <t>Each &lt; 5 s</t>
        </is>
      </c>
      <c r="H132" s="9" t="inlineStr">
        <is>
          <t>P2</t>
        </is>
      </c>
      <c r="I132" s="15" t="inlineStr">
        <is>
          <t>§5.1 Transaction Speed</t>
        </is>
      </c>
      <c r="J132" s="15" t="inlineStr">
        <is>
          <t>NFR-PERF-02</t>
        </is>
      </c>
      <c r="K132" s="9" t="inlineStr"/>
      <c r="L132" s="9" t="inlineStr">
        <is>
          <t>Expected to pass</t>
        </is>
      </c>
      <c r="M132" s="9" t="inlineStr">
        <is>
          <t>N</t>
        </is>
      </c>
      <c r="N132" s="16" t="inlineStr">
        <is>
          <t>Not Run</t>
        </is>
      </c>
      <c r="O132" s="17" t="n"/>
      <c r="P132" s="17" t="n"/>
      <c r="Q132" s="17" t="n"/>
      <c r="R132" s="18" t="n"/>
      <c r="S132" s="16" t="n"/>
      <c r="T132" s="17" t="n"/>
      <c r="U132" s="17" t="n"/>
    </row>
    <row r="133">
      <c r="A133" s="11" t="inlineStr">
        <is>
          <t>NF-03</t>
        </is>
      </c>
      <c r="B133" s="9" t="inlineStr">
        <is>
          <t>Non-functional</t>
        </is>
      </c>
      <c r="C133" s="15" t="inlineStr">
        <is>
          <t>Non-functional</t>
        </is>
      </c>
      <c r="D133" s="15" t="inlineStr">
        <is>
          <t>Guest</t>
        </is>
      </c>
      <c r="E133" s="15" t="inlineStr">
        <is>
          <t>DevTools device toolbar, width 375 px</t>
        </is>
      </c>
      <c r="F133" s="15" t="inlineStr">
        <is>
          <t>Walk through S-07 and S-09 on the 375 px viewport</t>
        </is>
      </c>
      <c r="G133" s="15" t="inlineStr">
        <is>
          <t>No horizontal scroll, every control is reachable, and the function room booking takes no more than the 8 steps listed in §5.4</t>
        </is>
      </c>
      <c r="H133" s="9" t="inlineStr">
        <is>
          <t>P2</t>
        </is>
      </c>
      <c r="I133" s="15" t="inlineStr">
        <is>
          <t>§3.1 Responsive Layout, §5.4 Usability</t>
        </is>
      </c>
      <c r="J133" s="15" t="inlineStr">
        <is>
          <t>NFR-USE-01, IF-UI-01</t>
        </is>
      </c>
      <c r="K133" s="9" t="inlineStr"/>
      <c r="L133" s="9" t="inlineStr">
        <is>
          <t>Expected to pass</t>
        </is>
      </c>
      <c r="M133" s="9" t="inlineStr">
        <is>
          <t>N</t>
        </is>
      </c>
      <c r="N133" s="16" t="inlineStr">
        <is>
          <t>Not Run</t>
        </is>
      </c>
      <c r="O133" s="17" t="n"/>
      <c r="P133" s="17" t="n"/>
      <c r="Q133" s="17" t="n"/>
      <c r="R133" s="18" t="n"/>
      <c r="S133" s="16" t="n"/>
      <c r="T133" s="17" t="n"/>
      <c r="U133" s="17" t="n"/>
    </row>
    <row r="134">
      <c r="A134" s="11" t="inlineStr">
        <is>
          <t>RM-01</t>
        </is>
      </c>
      <c r="B134" s="9" t="inlineStr">
        <is>
          <t>Role matrix</t>
        </is>
      </c>
      <c r="C134" s="15" t="inlineStr">
        <is>
          <t>Role-based access</t>
        </is>
      </c>
      <c r="D134" s="15" t="inlineStr">
        <is>
          <t>CUST</t>
        </is>
      </c>
      <c r="E134" s="15" t="inlineStr">
        <is>
          <t>Signed in as the role</t>
        </is>
      </c>
      <c r="F134" s="15" t="inlineStr">
        <is>
          <t>Type /delivery/staff, /inquiry-bot and /dashboard in the address bar</t>
        </is>
      </c>
      <c r="G134" s="15" t="inlineStr">
        <is>
          <t>Each redirects to /</t>
        </is>
      </c>
      <c r="H134" s="9" t="inlineStr">
        <is>
          <t>P1</t>
        </is>
      </c>
      <c r="I134" s="15" t="inlineStr">
        <is>
          <t>REQ-ADM-001</t>
        </is>
      </c>
      <c r="J134" s="15" t="inlineStr">
        <is>
          <t>REQ-ADM-001</t>
        </is>
      </c>
      <c r="K134" s="9" t="inlineStr"/>
      <c r="L134" s="9" t="inlineStr">
        <is>
          <t>Expected to pass</t>
        </is>
      </c>
      <c r="M134" s="9" t="inlineStr">
        <is>
          <t>Y</t>
        </is>
      </c>
      <c r="N134" s="16" t="inlineStr">
        <is>
          <t>Not Run</t>
        </is>
      </c>
      <c r="O134" s="17" t="n"/>
      <c r="P134" s="17" t="n"/>
      <c r="Q134" s="17" t="n"/>
      <c r="R134" s="18" t="n"/>
      <c r="S134" s="16" t="n"/>
      <c r="T134" s="17" t="n"/>
      <c r="U134" s="17" t="n"/>
    </row>
    <row r="135">
      <c r="A135" s="11" t="inlineStr">
        <is>
          <t>RM-02</t>
        </is>
      </c>
      <c r="B135" s="9" t="inlineStr">
        <is>
          <t>Role matrix</t>
        </is>
      </c>
      <c r="C135" s="15" t="inlineStr">
        <is>
          <t>Role-based access</t>
        </is>
      </c>
      <c r="D135" s="15" t="inlineStr">
        <is>
          <t>FOH</t>
        </is>
      </c>
      <c r="E135" s="15" t="inlineStr">
        <is>
          <t>Signed in as the role</t>
        </is>
      </c>
      <c r="F135" s="15" t="inlineStr">
        <is>
          <t>Type /dashboard, /delivery/rider, / and /profile</t>
        </is>
      </c>
      <c r="G135" s="15" t="inlineStr">
        <is>
          <t>All redirect to /operations</t>
        </is>
      </c>
      <c r="H135" s="9" t="inlineStr">
        <is>
          <t>P1</t>
        </is>
      </c>
      <c r="I135" s="15" t="inlineStr">
        <is>
          <t>REQ-ADM-001</t>
        </is>
      </c>
      <c r="J135" s="15" t="inlineStr">
        <is>
          <t>REQ-ADM-001</t>
        </is>
      </c>
      <c r="K135" s="9" t="inlineStr"/>
      <c r="L135" s="9" t="inlineStr">
        <is>
          <t>Expected to pass</t>
        </is>
      </c>
      <c r="M135" s="9" t="inlineStr">
        <is>
          <t>Y</t>
        </is>
      </c>
      <c r="N135" s="16" t="inlineStr">
        <is>
          <t>Not Run</t>
        </is>
      </c>
      <c r="O135" s="17" t="n"/>
      <c r="P135" s="17" t="n"/>
      <c r="Q135" s="17" t="n"/>
      <c r="R135" s="18" t="n"/>
      <c r="S135" s="16" t="n"/>
      <c r="T135" s="17" t="n"/>
      <c r="U135" s="17" t="n"/>
    </row>
    <row r="136">
      <c r="A136" s="11" t="inlineStr">
        <is>
          <t>RM-03</t>
        </is>
      </c>
      <c r="B136" s="9" t="inlineStr">
        <is>
          <t>Role matrix</t>
        </is>
      </c>
      <c r="C136" s="15" t="inlineStr">
        <is>
          <t>Role-based access</t>
        </is>
      </c>
      <c r="D136" s="15" t="inlineStr">
        <is>
          <t>RIDER</t>
        </is>
      </c>
      <c r="E136" s="15" t="inlineStr">
        <is>
          <t>Signed in as the role</t>
        </is>
      </c>
      <c r="F136" s="15" t="inlineStr">
        <is>
          <t>Type /operations, /delivery/items and /catering</t>
        </is>
      </c>
      <c r="G136" s="15" t="inlineStr">
        <is>
          <t>All redirect to /delivery/rider</t>
        </is>
      </c>
      <c r="H136" s="9" t="inlineStr">
        <is>
          <t>P1</t>
        </is>
      </c>
      <c r="I136" s="15" t="inlineStr">
        <is>
          <t>REQ-ADM-001</t>
        </is>
      </c>
      <c r="J136" s="15" t="inlineStr">
        <is>
          <t>REQ-ADM-001</t>
        </is>
      </c>
      <c r="K136" s="9" t="inlineStr"/>
      <c r="L136" s="9" t="inlineStr">
        <is>
          <t>Expected to pass</t>
        </is>
      </c>
      <c r="M136" s="9" t="inlineStr">
        <is>
          <t>Y</t>
        </is>
      </c>
      <c r="N136" s="16" t="inlineStr">
        <is>
          <t>Not Run</t>
        </is>
      </c>
      <c r="O136" s="17" t="n"/>
      <c r="P136" s="17" t="n"/>
      <c r="Q136" s="17" t="n"/>
      <c r="R136" s="18" t="n"/>
      <c r="S136" s="16" t="n"/>
      <c r="T136" s="17" t="n"/>
      <c r="U136" s="17" t="n"/>
    </row>
    <row r="137">
      <c r="A137" s="11" t="inlineStr">
        <is>
          <t>RM-04</t>
        </is>
      </c>
      <c r="B137" s="9" t="inlineStr">
        <is>
          <t>Role matrix</t>
        </is>
      </c>
      <c r="C137" s="15" t="inlineStr">
        <is>
          <t>Role-based access</t>
        </is>
      </c>
      <c r="D137" s="15" t="inlineStr">
        <is>
          <t>FOH</t>
        </is>
      </c>
      <c r="E137" s="15" t="inlineStr">
        <is>
          <t>Signed in as the role</t>
        </is>
      </c>
      <c r="F137" s="15" t="inlineStr">
        <is>
          <t>Type /OPERATIONS/ (case and trailing slash)</t>
        </is>
      </c>
      <c r="G137" s="15" t="inlineStr">
        <is>
          <t>Renders Operations (paths are normalised)</t>
        </is>
      </c>
      <c r="H137" s="9" t="inlineStr">
        <is>
          <t>P1</t>
        </is>
      </c>
      <c r="I137" s="15" t="inlineStr">
        <is>
          <t>REQ-ADM-001</t>
        </is>
      </c>
      <c r="J137" s="15" t="inlineStr">
        <is>
          <t>REQ-ADM-001</t>
        </is>
      </c>
      <c r="K137" s="9" t="inlineStr"/>
      <c r="L137" s="9" t="inlineStr">
        <is>
          <t>Expected to pass</t>
        </is>
      </c>
      <c r="M137" s="9" t="inlineStr">
        <is>
          <t>N</t>
        </is>
      </c>
      <c r="N137" s="16" t="inlineStr">
        <is>
          <t>Not Run</t>
        </is>
      </c>
      <c r="O137" s="17" t="n"/>
      <c r="P137" s="17" t="n"/>
      <c r="Q137" s="17" t="n"/>
      <c r="R137" s="18" t="n"/>
      <c r="S137" s="16" t="n"/>
      <c r="T137" s="17" t="n"/>
      <c r="U137" s="17" t="n"/>
    </row>
    <row r="138">
      <c r="A138" s="11" t="inlineStr">
        <is>
          <t>RM-05</t>
        </is>
      </c>
      <c r="B138" s="9" t="inlineStr">
        <is>
          <t>Role matrix</t>
        </is>
      </c>
      <c r="C138" s="15" t="inlineStr">
        <is>
          <t>Role-based access</t>
        </is>
      </c>
      <c r="D138" s="15" t="inlineStr">
        <is>
          <t>Manager (optional account)</t>
        </is>
      </c>
      <c r="E138" s="15" t="inlineStr">
        <is>
          <t>Signed in as the role</t>
        </is>
      </c>
      <c r="F138" s="15" t="inlineStr">
        <is>
          <t>Open /dashboard</t>
        </is>
      </c>
      <c r="G138" s="15" t="inlineStr">
        <is>
          <t>Renders. /delivery/rider redirects to /operations</t>
        </is>
      </c>
      <c r="H138" s="9" t="inlineStr">
        <is>
          <t>P1</t>
        </is>
      </c>
      <c r="I138" s="15" t="inlineStr">
        <is>
          <t>REQ-ADM-001</t>
        </is>
      </c>
      <c r="J138" s="15" t="inlineStr">
        <is>
          <t>REQ-ADM-001</t>
        </is>
      </c>
      <c r="K138" s="9" t="inlineStr"/>
      <c r="L138" s="9" t="inlineStr">
        <is>
          <t>Expected to pass</t>
        </is>
      </c>
      <c r="M138" s="9" t="inlineStr">
        <is>
          <t>N</t>
        </is>
      </c>
      <c r="N138" s="16" t="inlineStr">
        <is>
          <t>Not Run</t>
        </is>
      </c>
      <c r="O138" s="17" t="n"/>
      <c r="P138" s="17" t="n"/>
      <c r="Q138" s="17" t="n"/>
      <c r="R138" s="18" t="n"/>
      <c r="S138" s="16" t="n"/>
      <c r="T138" s="17" t="n"/>
      <c r="U138" s="17" t="n"/>
    </row>
    <row r="139">
      <c r="A139" s="11" t="inlineStr">
        <is>
          <t>RM-06</t>
        </is>
      </c>
      <c r="B139" s="9" t="inlineStr">
        <is>
          <t>Role matrix</t>
        </is>
      </c>
      <c r="C139" s="15" t="inlineStr">
        <is>
          <t>Role-based access</t>
        </is>
      </c>
      <c r="D139" s="15" t="inlineStr">
        <is>
          <t>Admin (optional account)</t>
        </is>
      </c>
      <c r="E139" s="15" t="inlineStr">
        <is>
          <t>Signed in as the role</t>
        </is>
      </c>
      <c r="F139" s="15" t="inlineStr">
        <is>
          <t>Open /delivery/rider</t>
        </is>
      </c>
      <c r="G139" s="15" t="inlineStr">
        <is>
          <t>Renders. / redirects to /dashboard</t>
        </is>
      </c>
      <c r="H139" s="9" t="inlineStr">
        <is>
          <t>P1</t>
        </is>
      </c>
      <c r="I139" s="15" t="inlineStr">
        <is>
          <t>REQ-ADM-001</t>
        </is>
      </c>
      <c r="J139" s="15" t="inlineStr">
        <is>
          <t>REQ-ADM-001</t>
        </is>
      </c>
      <c r="K139" s="9" t="inlineStr"/>
      <c r="L139" s="9" t="inlineStr">
        <is>
          <t>Expected to pass</t>
        </is>
      </c>
      <c r="M139" s="9" t="inlineStr">
        <is>
          <t>N</t>
        </is>
      </c>
      <c r="N139" s="16" t="inlineStr">
        <is>
          <t>Not Run</t>
        </is>
      </c>
      <c r="O139" s="17" t="n"/>
      <c r="P139" s="17" t="n"/>
      <c r="Q139" s="17" t="n"/>
      <c r="R139" s="18" t="n"/>
      <c r="S139" s="16" t="n"/>
      <c r="T139" s="17" t="n"/>
      <c r="U139" s="17" t="n"/>
    </row>
    <row r="140">
      <c r="A140" s="11" t="inlineStr">
        <is>
          <t>DB-01</t>
        </is>
      </c>
      <c r="B140" s="9" t="inlineStr">
        <is>
          <t>DB / Security</t>
        </is>
      </c>
      <c r="C140" s="15" t="inlineStr">
        <is>
          <t>DB / Security: Anon cannot read bookings</t>
        </is>
      </c>
      <c r="D140" s="15" t="inlineStr">
        <is>
          <t>See command</t>
        </is>
      </c>
      <c r="E140" s="15" t="inlineStr">
        <is>
          <t>SB, ANON, JWT variables (§0.5)</t>
        </is>
      </c>
      <c r="F140" s="15" t="inlineStr">
        <is>
          <t>curl "$SB/rest/v1/function_bookings?select=id" -H "apikey: $ANON" -H "Authorization: Bearer $ANON"</t>
        </is>
      </c>
      <c r="G140" s="15" t="inlineStr">
        <is>
          <t>401/403 permission denied (or []). Never rows</t>
        </is>
      </c>
      <c r="H140" s="9" t="inlineStr">
        <is>
          <t>P1</t>
        </is>
      </c>
      <c r="I140" s="15" t="inlineStr">
        <is>
          <t>—</t>
        </is>
      </c>
      <c r="J140" s="15" t="inlineStr">
        <is>
          <t>NFR-SEC-02</t>
        </is>
      </c>
      <c r="K140" s="9" t="inlineStr"/>
      <c r="L140" s="9" t="inlineStr">
        <is>
          <t>Expected to pass</t>
        </is>
      </c>
      <c r="M140" s="9" t="inlineStr">
        <is>
          <t>Y</t>
        </is>
      </c>
      <c r="N140" s="16" t="inlineStr">
        <is>
          <t>Pass</t>
        </is>
      </c>
      <c r="O140" s="17" t="inlineStr">
        <is>
          <t>anon GET function_bookings, catering_bookings, delivery_orders, inquiries → 42501 permission denied (no rows)</t>
        </is>
      </c>
      <c r="P140" s="17" t="n"/>
      <c r="Q140" s="17" t="inlineStr">
        <is>
          <t>Claude (automated, no account)</t>
        </is>
      </c>
      <c r="R140" s="18" t="n">
        <v>46302</v>
      </c>
      <c r="S140" s="16" t="inlineStr">
        <is>
          <t>Live (Railway main); repo db90eeb</t>
        </is>
      </c>
      <c r="T140" s="17" t="n"/>
      <c r="U140" s="17" t="inlineStr">
        <is>
          <t>Test</t>
        </is>
      </c>
    </row>
    <row r="141">
      <c r="A141" s="11" t="inlineStr">
        <is>
          <t>DB-02</t>
        </is>
      </c>
      <c r="B141" s="9" t="inlineStr">
        <is>
          <t>DB / Security</t>
        </is>
      </c>
      <c r="C141" s="15" t="inlineStr">
        <is>
          <t>DB / Security: Anon cannot write business tables</t>
        </is>
      </c>
      <c r="D141" s="15" t="inlineStr">
        <is>
          <t>See command</t>
        </is>
      </c>
      <c r="E141" s="15" t="inlineStr">
        <is>
          <t>SB, ANON, JWT variables (§0.5)</t>
        </is>
      </c>
      <c r="F141" s="15" t="inlineStr">
        <is>
          <t>curl -X POST "$SB/rest/v1/inquiries" -H "apikey: $ANON" -H "Authorization: Bearer $ANON" -H 'Content-Type: application/json' -d '{"name":"x","type":"x","message":"x","status":"New"}' (repeat for catering_bookings and delivery_orders)</t>
        </is>
      </c>
      <c r="G141" s="15" t="inlineStr">
        <is>
          <t>401 / 42501 permission denied</t>
        </is>
      </c>
      <c r="H141" s="9" t="inlineStr">
        <is>
          <t>P1</t>
        </is>
      </c>
      <c r="I141" s="15" t="inlineStr">
        <is>
          <t>—</t>
        </is>
      </c>
      <c r="J141" s="15" t="inlineStr">
        <is>
          <t>NFR-SEC-02</t>
        </is>
      </c>
      <c r="K141" s="9" t="inlineStr"/>
      <c r="L141" s="9" t="inlineStr">
        <is>
          <t>Expected to pass</t>
        </is>
      </c>
      <c r="M141" s="9" t="inlineStr">
        <is>
          <t>Y</t>
        </is>
      </c>
      <c r="N141" s="16" t="inlineStr">
        <is>
          <t>Pass</t>
        </is>
      </c>
      <c r="O141" s="17" t="inlineStr">
        <is>
          <t>anon POST inquiries, catering_bookings, delivery_orders → 42501 permission denied</t>
        </is>
      </c>
      <c r="P141" s="17" t="n"/>
      <c r="Q141" s="17" t="inlineStr">
        <is>
          <t>Claude (automated, no account)</t>
        </is>
      </c>
      <c r="R141" s="18" t="n">
        <v>46302</v>
      </c>
      <c r="S141" s="16" t="inlineStr">
        <is>
          <t>Live (Railway main); repo db90eeb</t>
        </is>
      </c>
      <c r="T141" s="17" t="inlineStr">
        <is>
          <t>Payloads used an invalid status so no row could be created even if access were open</t>
        </is>
      </c>
      <c r="U141" s="17" t="inlineStr">
        <is>
          <t>Test</t>
        </is>
      </c>
    </row>
    <row r="142">
      <c r="A142" s="11" t="inlineStr">
        <is>
          <t>DB-03</t>
        </is>
      </c>
      <c r="B142" s="9" t="inlineStr">
        <is>
          <t>DB / Security</t>
        </is>
      </c>
      <c r="C142" s="15" t="inlineStr">
        <is>
          <t>DB / Security: Anon can read slot inventory but not write it</t>
        </is>
      </c>
      <c r="D142" s="15" t="inlineStr">
        <is>
          <t>See command</t>
        </is>
      </c>
      <c r="E142" s="15" t="inlineStr">
        <is>
          <t>SB, ANON, JWT variables (§0.5)</t>
        </is>
      </c>
      <c r="F142" s="15" t="inlineStr">
        <is>
          <t>GET booking_availability?select=*&amp;limit=1 → then POST a row</t>
        </is>
      </c>
      <c r="G142" s="15" t="inlineStr">
        <is>
          <t>GET 200. POST denied</t>
        </is>
      </c>
      <c r="H142" s="9" t="inlineStr">
        <is>
          <t>P1</t>
        </is>
      </c>
      <c r="I142" s="15" t="inlineStr">
        <is>
          <t>—</t>
        </is>
      </c>
      <c r="J142" s="15" t="inlineStr">
        <is>
          <t>NFR-SEC-02, REQ-RES-001</t>
        </is>
      </c>
      <c r="K142" s="9" t="inlineStr"/>
      <c r="L142" s="9" t="inlineStr">
        <is>
          <t>Expected to pass</t>
        </is>
      </c>
      <c r="M142" s="9" t="inlineStr">
        <is>
          <t>N</t>
        </is>
      </c>
      <c r="N142" s="16" t="inlineStr">
        <is>
          <t>Pass</t>
        </is>
      </c>
      <c r="O142" s="17" t="inlineStr">
        <is>
          <t>anon GET booking_availability → 200 []. anon POST → 42501</t>
        </is>
      </c>
      <c r="P142" s="17" t="n"/>
      <c r="Q142" s="17" t="inlineStr">
        <is>
          <t>Claude (automated, no account)</t>
        </is>
      </c>
      <c r="R142" s="18" t="n">
        <v>46302</v>
      </c>
      <c r="S142" s="16" t="inlineStr">
        <is>
          <t>Live (Railway main); repo db90eeb</t>
        </is>
      </c>
      <c r="T142" s="17" t="inlineStr">
        <is>
          <t>Also: anon GET profiles / messenger_sessions → 42501; anon GET catering_packages → 200 (catalog is public by design)</t>
        </is>
      </c>
      <c r="U142" s="17" t="inlineStr">
        <is>
          <t>Test</t>
        </is>
      </c>
    </row>
    <row r="143">
      <c r="A143" s="11" t="inlineStr">
        <is>
          <t>DB-04</t>
        </is>
      </c>
      <c r="B143" s="9" t="inlineStr">
        <is>
          <t>DB / Security</t>
        </is>
      </c>
      <c r="C143" s="15" t="inlineStr">
        <is>
          <t>DB / Security: Customer sees only own rows</t>
        </is>
      </c>
      <c r="D143" s="15" t="inlineStr">
        <is>
          <t>See command</t>
        </is>
      </c>
      <c r="E143" s="15" t="inlineStr">
        <is>
          <t>SB, ANON, JWT variables (§0.5)</t>
        </is>
      </c>
      <c r="F143" s="15" t="inlineStr">
        <is>
          <t>With CUST JWT: GET function_bookings?select=id,user_id</t>
        </is>
      </c>
      <c r="G143" s="15" t="inlineStr">
        <is>
          <t>Every row has user_id = CUST's id. CUST-B's bookings are absent</t>
        </is>
      </c>
      <c r="H143" s="9" t="inlineStr">
        <is>
          <t>P1</t>
        </is>
      </c>
      <c r="I143" s="15" t="inlineStr">
        <is>
          <t>—</t>
        </is>
      </c>
      <c r="J143" s="15" t="inlineStr">
        <is>
          <t>NFR-SEC-02, REQ-ADM-001</t>
        </is>
      </c>
      <c r="K143" s="9" t="inlineStr"/>
      <c r="L143" s="9" t="inlineStr">
        <is>
          <t>Expected to pass</t>
        </is>
      </c>
      <c r="M143" s="9" t="inlineStr">
        <is>
          <t>N</t>
        </is>
      </c>
      <c r="N143" s="16" t="inlineStr">
        <is>
          <t>Not Run</t>
        </is>
      </c>
      <c r="O143" s="17" t="n"/>
      <c r="P143" s="17" t="n"/>
      <c r="Q143" s="17" t="n"/>
      <c r="R143" s="18" t="n"/>
      <c r="S143" s="16" t="n"/>
      <c r="T143" s="17" t="n"/>
      <c r="U143" s="17" t="n"/>
    </row>
    <row r="144">
      <c r="A144" s="11" t="inlineStr">
        <is>
          <t>DB-05</t>
        </is>
      </c>
      <c r="B144" s="9" t="inlineStr">
        <is>
          <t>DB / Security</t>
        </is>
      </c>
      <c r="C144" s="15" t="inlineStr">
        <is>
          <t>DB / Security: Customer cannot write another user's row</t>
        </is>
      </c>
      <c r="D144" s="15" t="inlineStr">
        <is>
          <t>See command</t>
        </is>
      </c>
      <c r="E144" s="15" t="inlineStr">
        <is>
          <t>SB, ANON, JWT variables (§0.5)</t>
        </is>
      </c>
      <c r="F144" s="15" t="inlineStr">
        <is>
          <t>CUST JWT: PATCH function_bookings?id=eq.&lt;CUST-B booking id&gt; body {"status":"Cancelled"} with Prefer: return=representation</t>
        </is>
      </c>
      <c r="G144" s="15" t="inlineStr">
        <is>
          <t>[] (0 rows affected)</t>
        </is>
      </c>
      <c r="H144" s="9" t="inlineStr">
        <is>
          <t>P1</t>
        </is>
      </c>
      <c r="I144" s="15" t="inlineStr">
        <is>
          <t>—</t>
        </is>
      </c>
      <c r="J144" s="15" t="inlineStr">
        <is>
          <t>NFR-SEC-02</t>
        </is>
      </c>
      <c r="K144" s="9" t="inlineStr"/>
      <c r="L144" s="9" t="inlineStr">
        <is>
          <t>Expected to pass</t>
        </is>
      </c>
      <c r="M144" s="9" t="inlineStr">
        <is>
          <t>N</t>
        </is>
      </c>
      <c r="N144" s="16" t="inlineStr">
        <is>
          <t>Not Run</t>
        </is>
      </c>
      <c r="O144" s="17" t="n"/>
      <c r="P144" s="17" t="n"/>
      <c r="Q144" s="17" t="n"/>
      <c r="R144" s="18" t="n"/>
      <c r="S144" s="16" t="n"/>
      <c r="T144" s="17" t="n"/>
      <c r="U144" s="17" t="n"/>
    </row>
    <row r="145">
      <c r="A145" s="11" t="inlineStr">
        <is>
          <t>DB-06</t>
        </is>
      </c>
      <c r="B145" s="9" t="inlineStr">
        <is>
          <t>DB / Security</t>
        </is>
      </c>
      <c r="C145" s="15" t="inlineStr">
        <is>
          <t>DB / Security: Customer self-confirm</t>
        </is>
      </c>
      <c r="D145" s="15" t="inlineStr">
        <is>
          <t>See command</t>
        </is>
      </c>
      <c r="E145" s="15" t="inlineStr">
        <is>
          <t>SB, ANON, JWT variables (§0.5)</t>
        </is>
      </c>
      <c r="F145" s="15" t="inlineStr">
        <is>
          <t>CUST JWT: PATCH function_bookings?id=eq.&lt;own Pending id&gt; body {"status":"Confirmed"}</t>
        </is>
      </c>
      <c r="G145" s="15" t="inlineStr">
        <is>
          <t>Expected (business): denied. Current policy allows it (update-own has no column/status restriction) → F-12</t>
        </is>
      </c>
      <c r="H145" s="9" t="inlineStr">
        <is>
          <t>P1</t>
        </is>
      </c>
      <c r="I145" s="15" t="inlineStr">
        <is>
          <t>—</t>
        </is>
      </c>
      <c r="J145" s="15" t="inlineStr">
        <is>
          <t>REQ-RES-003, NFR-SEC-02</t>
        </is>
      </c>
      <c r="K145" s="9" t="inlineStr">
        <is>
          <t>F-12</t>
        </is>
      </c>
      <c r="L145" s="9" t="inlineStr">
        <is>
          <t>Known deviation</t>
        </is>
      </c>
      <c r="M145" s="9" t="inlineStr">
        <is>
          <t>N</t>
        </is>
      </c>
      <c r="N145" s="16" t="inlineStr">
        <is>
          <t>Not Run</t>
        </is>
      </c>
      <c r="O145" s="17" t="n"/>
      <c r="P145" s="17" t="n"/>
      <c r="Q145" s="17" t="n"/>
      <c r="R145" s="18" t="n"/>
      <c r="S145" s="16" t="n"/>
      <c r="T145" s="17" t="n"/>
      <c r="U145" s="17" t="n"/>
    </row>
    <row r="146">
      <c r="A146" s="11" t="inlineStr">
        <is>
          <t>DB-07</t>
        </is>
      </c>
      <c r="B146" s="9" t="inlineStr">
        <is>
          <t>DB / Security</t>
        </is>
      </c>
      <c r="C146" s="15" t="inlineStr">
        <is>
          <t>DB / Security: Customer cannot escalate role</t>
        </is>
      </c>
      <c r="D146" s="15" t="inlineStr">
        <is>
          <t>See command</t>
        </is>
      </c>
      <c r="E146" s="15" t="inlineStr">
        <is>
          <t>SB, ANON, JWT variables (§0.5)</t>
        </is>
      </c>
      <c r="F146" s="15" t="inlineStr">
        <is>
          <t>CUST JWT: PATCH profiles?id=eq.&lt;own id&gt; body {"role":"system_admin"}</t>
        </is>
      </c>
      <c r="G146" s="15" t="inlineStr">
        <is>
          <t>403 / permission denied (no UPDATE grant on profiles)</t>
        </is>
      </c>
      <c r="H146" s="9" t="inlineStr">
        <is>
          <t>P1</t>
        </is>
      </c>
      <c r="I146" s="15" t="inlineStr">
        <is>
          <t>—</t>
        </is>
      </c>
      <c r="J146" s="15" t="inlineStr">
        <is>
          <t>REQ-ADM-001, NFR-SEC-02</t>
        </is>
      </c>
      <c r="K146" s="9" t="inlineStr"/>
      <c r="L146" s="9" t="inlineStr">
        <is>
          <t>Expected to pass</t>
        </is>
      </c>
      <c r="M146" s="9" t="inlineStr">
        <is>
          <t>N</t>
        </is>
      </c>
      <c r="N146" s="16" t="inlineStr">
        <is>
          <t>Not Run</t>
        </is>
      </c>
      <c r="O146" s="17" t="n"/>
      <c r="P146" s="17" t="n"/>
      <c r="Q146" s="17" t="n"/>
      <c r="R146" s="18" t="n"/>
      <c r="S146" s="16" t="n"/>
      <c r="T146" s="17" t="n"/>
      <c r="U146" s="17" t="n"/>
    </row>
    <row r="147">
      <c r="A147" s="11" t="inlineStr">
        <is>
          <t>DB-08</t>
        </is>
      </c>
      <c r="B147" s="9" t="inlineStr">
        <is>
          <t>DB / Security</t>
        </is>
      </c>
      <c r="C147" s="15" t="inlineStr">
        <is>
          <t>DB / Security: Atomic slot reservation</t>
        </is>
      </c>
      <c r="D147" s="15" t="inlineStr">
        <is>
          <t>See command</t>
        </is>
      </c>
      <c r="E147" s="15" t="inlineStr">
        <is>
          <t>SB, ANON, JWT variables (§0.5)</t>
        </is>
      </c>
      <c r="F147" s="15" t="inlineStr">
        <is>
          <t>Fire two POSTs for the same room_id=private_dining, date=COL, time=16:00, status=Pending concurrently (two shells, CUST and CUST-B JWTs, &amp; and then wait)</t>
        </is>
      </c>
      <c r="G147" s="15" t="inlineStr">
        <is>
          <t>Exactly one 201. The other returns 409 / 23505 function_bookings_active_slot_unique. booking_availability has exactly one row for that slot. (The outcome meets REQ-RES-002, but the mechanism is a unique index, not SELECT FOR UPDATE → F-31)</t>
        </is>
      </c>
      <c r="H147" s="9" t="inlineStr">
        <is>
          <t>P1</t>
        </is>
      </c>
      <c r="I147" s="15" t="inlineStr">
        <is>
          <t>—</t>
        </is>
      </c>
      <c r="J147" s="15" t="inlineStr">
        <is>
          <t>REQ-RES-002, ARCH-01</t>
        </is>
      </c>
      <c r="K147" s="9" t="inlineStr">
        <is>
          <t>F-31</t>
        </is>
      </c>
      <c r="L147" s="9" t="inlineStr">
        <is>
          <t>Known deviation</t>
        </is>
      </c>
      <c r="M147" s="9" t="inlineStr">
        <is>
          <t>N</t>
        </is>
      </c>
      <c r="N147" s="16" t="inlineStr">
        <is>
          <t>Not Run</t>
        </is>
      </c>
      <c r="O147" s="17" t="n"/>
      <c r="P147" s="17" t="n"/>
      <c r="Q147" s="17" t="n"/>
      <c r="R147" s="18" t="n"/>
      <c r="S147" s="16" t="n"/>
      <c r="T147" s="17" t="n"/>
      <c r="U147" s="17" t="n"/>
    </row>
    <row r="148">
      <c r="A148" s="11" t="inlineStr">
        <is>
          <t>DB-09</t>
        </is>
      </c>
      <c r="B148" s="9" t="inlineStr">
        <is>
          <t>DB / Security</t>
        </is>
      </c>
      <c r="C148" s="15" t="inlineStr">
        <is>
          <t>DB / Security: Off-grid / out-of-hours times rejected by the DB</t>
        </is>
      </c>
      <c r="D148" s="15" t="inlineStr">
        <is>
          <t>See command</t>
        </is>
      </c>
      <c r="E148" s="15" t="inlineStr">
        <is>
          <t>SB, ANON, JWT variables (§0.5)</t>
        </is>
      </c>
      <c r="F148" s="15" t="inlineStr">
        <is>
          <t>POST a function booking with time = 20:00, then 12:15</t>
        </is>
      </c>
      <c r="G148" s="15" t="inlineStr">
        <is>
          <t>23514 check violation (function_bookings_time_grid_check)</t>
        </is>
      </c>
      <c r="H148" s="9" t="inlineStr">
        <is>
          <t>P1</t>
        </is>
      </c>
      <c r="I148" s="15" t="inlineStr">
        <is>
          <t>—</t>
        </is>
      </c>
      <c r="J148" s="15" t="inlineStr">
        <is>
          <t>REQ-RES-002, BRIEF</t>
        </is>
      </c>
      <c r="K148" s="9" t="inlineStr"/>
      <c r="L148" s="9" t="inlineStr">
        <is>
          <t>Expected to pass</t>
        </is>
      </c>
      <c r="M148" s="9" t="inlineStr">
        <is>
          <t>N</t>
        </is>
      </c>
      <c r="N148" s="16" t="inlineStr">
        <is>
          <t>Not Run</t>
        </is>
      </c>
      <c r="O148" s="17" t="n"/>
      <c r="P148" s="17" t="n"/>
      <c r="Q148" s="17" t="n"/>
      <c r="R148" s="18" t="n"/>
      <c r="S148" s="16" t="n"/>
      <c r="T148" s="17" t="n"/>
      <c r="U148" s="17" t="n"/>
    </row>
    <row r="149">
      <c r="A149" s="11" t="inlineStr">
        <is>
          <t>DB-10</t>
        </is>
      </c>
      <c r="B149" s="9" t="inlineStr">
        <is>
          <t>DB / Security</t>
        </is>
      </c>
      <c r="C149" s="15" t="inlineStr">
        <is>
          <t>DB / Security: Lead time enforced server-side</t>
        </is>
      </c>
      <c r="D149" s="15" t="inlineStr">
        <is>
          <t>See command</t>
        </is>
      </c>
      <c r="E149" s="15" t="inlineStr">
        <is>
          <t>SB, ANON, JWT variables (§0.5)</t>
        </is>
      </c>
      <c r="F149" s="15" t="inlineStr">
        <is>
          <t>CUST JWT: POST a function booking for today at 10:00</t>
        </is>
      </c>
      <c r="G149" s="15" t="inlineStr">
        <is>
          <t>Expected: rejected (BR Lead Time). Current: the DB accepts it (the 2-day rule is client-only) → F-16</t>
        </is>
      </c>
      <c r="H149" s="9" t="inlineStr">
        <is>
          <t>P1</t>
        </is>
      </c>
      <c r="I149" s="15" t="inlineStr">
        <is>
          <t>—</t>
        </is>
      </c>
      <c r="J149" s="15" t="inlineStr">
        <is>
          <t>BR-01</t>
        </is>
      </c>
      <c r="K149" s="9" t="inlineStr">
        <is>
          <t>F-16</t>
        </is>
      </c>
      <c r="L149" s="9" t="inlineStr">
        <is>
          <t>Known deviation</t>
        </is>
      </c>
      <c r="M149" s="9" t="inlineStr">
        <is>
          <t>N</t>
        </is>
      </c>
      <c r="N149" s="16" t="inlineStr">
        <is>
          <t>Not Run</t>
        </is>
      </c>
      <c r="O149" s="17" t="n"/>
      <c r="P149" s="17" t="n"/>
      <c r="Q149" s="17" t="n"/>
      <c r="R149" s="18" t="n"/>
      <c r="S149" s="16" t="n"/>
      <c r="T149" s="17" t="n"/>
      <c r="U149" s="17" t="n"/>
    </row>
    <row r="150">
      <c r="A150" s="11" t="inlineStr">
        <is>
          <t>DB-11</t>
        </is>
      </c>
      <c r="B150" s="9" t="inlineStr">
        <is>
          <t>DB / Security</t>
        </is>
      </c>
      <c r="C150" s="15" t="inlineStr">
        <is>
          <t>DB / Security: Cancel releases the slot</t>
        </is>
      </c>
      <c r="D150" s="15" t="inlineStr">
        <is>
          <t>See command</t>
        </is>
      </c>
      <c r="E150" s="15" t="inlineStr">
        <is>
          <t>SB, ANON, JWT variables (§0.5)</t>
        </is>
      </c>
      <c r="F150" s="15" t="inlineStr">
        <is>
          <t>FOH: set the DB-08 booking to Cancelled → query booking_availability for that slot</t>
        </is>
      </c>
      <c r="G150" s="15" t="inlineStr">
        <is>
          <t>Row gone. A new booking for the slot succeeds</t>
        </is>
      </c>
      <c r="H150" s="9" t="inlineStr">
        <is>
          <t>P1</t>
        </is>
      </c>
      <c r="I150" s="15" t="inlineStr">
        <is>
          <t>—</t>
        </is>
      </c>
      <c r="J150" s="15" t="inlineStr">
        <is>
          <t>REQ-RES-001</t>
        </is>
      </c>
      <c r="K150" s="9" t="inlineStr"/>
      <c r="L150" s="9" t="inlineStr">
        <is>
          <t>Expected to pass</t>
        </is>
      </c>
      <c r="M150" s="9" t="inlineStr">
        <is>
          <t>N</t>
        </is>
      </c>
      <c r="N150" s="16" t="inlineStr">
        <is>
          <t>Not Run</t>
        </is>
      </c>
      <c r="O150" s="17" t="n"/>
      <c r="P150" s="17" t="n"/>
      <c r="Q150" s="17" t="n"/>
      <c r="R150" s="18" t="n"/>
      <c r="S150" s="16" t="n"/>
      <c r="T150" s="17" t="n"/>
      <c r="U150" s="17" t="n"/>
    </row>
    <row r="151">
      <c r="A151" s="11" t="inlineStr">
        <is>
          <t>DB-12</t>
        </is>
      </c>
      <c r="B151" s="9" t="inlineStr">
        <is>
          <t>DB / Security</t>
        </is>
      </c>
      <c r="C151" s="15" t="inlineStr">
        <is>
          <t>DB / Security: Staff read all inquiries</t>
        </is>
      </c>
      <c r="D151" s="15" t="inlineStr">
        <is>
          <t>See command</t>
        </is>
      </c>
      <c r="E151" s="15" t="inlineStr">
        <is>
          <t>SB, ANON, JWT variables (§0.5)</t>
        </is>
      </c>
      <c r="F151" s="15" t="inlineStr">
        <is>
          <t>FOH JWT: GET inquiries?select=id,user_id&amp;limit=50</t>
        </is>
      </c>
      <c r="G151" s="15" t="inlineStr">
        <is>
          <t>Includes rows with user_id = null and rows from other users</t>
        </is>
      </c>
      <c r="H151" s="9" t="inlineStr">
        <is>
          <t>P1</t>
        </is>
      </c>
      <c r="I151" s="15" t="inlineStr">
        <is>
          <t>—</t>
        </is>
      </c>
      <c r="J151" s="15" t="inlineStr">
        <is>
          <t>REQ-ADM-002</t>
        </is>
      </c>
      <c r="K151" s="9" t="inlineStr"/>
      <c r="L151" s="9" t="inlineStr">
        <is>
          <t>Expected to pass</t>
        </is>
      </c>
      <c r="M151" s="9" t="inlineStr">
        <is>
          <t>N</t>
        </is>
      </c>
      <c r="N151" s="16" t="inlineStr">
        <is>
          <t>Not Run</t>
        </is>
      </c>
      <c r="O151" s="17" t="n"/>
      <c r="P151" s="17" t="n"/>
      <c r="Q151" s="17" t="n"/>
      <c r="R151" s="18" t="n"/>
      <c r="S151" s="16" t="n"/>
      <c r="T151" s="17" t="n"/>
      <c r="U151" s="17" t="n"/>
    </row>
    <row r="152">
      <c r="A152" s="11" t="inlineStr">
        <is>
          <t>DB-13</t>
        </is>
      </c>
      <c r="B152" s="9" t="inlineStr">
        <is>
          <t>DB / Security</t>
        </is>
      </c>
      <c r="C152" s="15" t="inlineStr">
        <is>
          <t>DB / Security: Rider has no business-table access</t>
        </is>
      </c>
      <c r="D152" s="15" t="inlineStr">
        <is>
          <t>See command</t>
        </is>
      </c>
      <c r="E152" s="15" t="inlineStr">
        <is>
          <t>SB, ANON, JWT variables (§0.5)</t>
        </is>
      </c>
      <c r="F152" s="15" t="inlineStr">
        <is>
          <t>RIDER JWT: GET delivery_orders?select=reference</t>
        </is>
      </c>
      <c r="G152" s="15" t="inlineStr">
        <is>
          <t>[] (no read policy for the rider role)</t>
        </is>
      </c>
      <c r="H152" s="9" t="inlineStr">
        <is>
          <t>P2</t>
        </is>
      </c>
      <c r="I152" s="15" t="inlineStr">
        <is>
          <t>—</t>
        </is>
      </c>
      <c r="J152" s="15" t="inlineStr">
        <is>
          <t>UR-RIDER</t>
        </is>
      </c>
      <c r="K152" s="9" t="inlineStr"/>
      <c r="L152" s="9" t="inlineStr">
        <is>
          <t>Expected to pass</t>
        </is>
      </c>
      <c r="M152" s="9" t="inlineStr">
        <is>
          <t>N</t>
        </is>
      </c>
      <c r="N152" s="16" t="inlineStr">
        <is>
          <t>Not Run</t>
        </is>
      </c>
      <c r="O152" s="17" t="n"/>
      <c r="P152" s="17" t="n"/>
      <c r="Q152" s="17" t="n"/>
      <c r="R152" s="18" t="n"/>
      <c r="S152" s="16" t="n"/>
      <c r="T152" s="17" t="n"/>
      <c r="U152" s="17" t="n"/>
    </row>
    <row r="153">
      <c r="A153" s="11" t="inlineStr">
        <is>
          <t>DB-14</t>
        </is>
      </c>
      <c r="B153" s="9" t="inlineStr">
        <is>
          <t>DB / Security</t>
        </is>
      </c>
      <c r="C153" s="15" t="inlineStr">
        <is>
          <t>DB / Security: system_admin write path</t>
        </is>
      </c>
      <c r="D153" s="15" t="inlineStr">
        <is>
          <t>See command</t>
        </is>
      </c>
      <c r="E153" s="15" t="inlineStr">
        <is>
          <t>SB, ANON, JWT variables (§0.5)</t>
        </is>
      </c>
      <c r="F153" s="15" t="inlineStr">
        <is>
          <t>Admin JWT: PATCH inquiries?id=eq.&lt;id&gt; body {"status":"Resolved"}</t>
        </is>
      </c>
      <c r="G153" s="15" t="inlineStr">
        <is>
          <t>Current: 0 rows, so the Operations UI change silently reverts on refresh. SRS expects full admin access → F-17</t>
        </is>
      </c>
      <c r="H153" s="9" t="inlineStr">
        <is>
          <t>P2</t>
        </is>
      </c>
      <c r="I153" s="15" t="inlineStr">
        <is>
          <t>—</t>
        </is>
      </c>
      <c r="J153" s="15" t="inlineStr">
        <is>
          <t>UR-ADMIN, REQ-ADM-001</t>
        </is>
      </c>
      <c r="K153" s="9" t="inlineStr">
        <is>
          <t>F-17</t>
        </is>
      </c>
      <c r="L153" s="9" t="inlineStr">
        <is>
          <t>Known deviation</t>
        </is>
      </c>
      <c r="M153" s="9" t="inlineStr">
        <is>
          <t>N</t>
        </is>
      </c>
      <c r="N153" s="16" t="inlineStr">
        <is>
          <t>Not Run</t>
        </is>
      </c>
      <c r="O153" s="17" t="n"/>
      <c r="P153" s="17" t="n"/>
      <c r="Q153" s="17" t="n"/>
      <c r="R153" s="18" t="n"/>
      <c r="S153" s="16" t="n"/>
      <c r="T153" s="17" t="n"/>
      <c r="U153" s="17" t="n"/>
    </row>
    <row r="154">
      <c r="A154" s="11" t="inlineStr">
        <is>
          <t>DB-15</t>
        </is>
      </c>
      <c r="B154" s="9" t="inlineStr">
        <is>
          <t>DB / Security</t>
        </is>
      </c>
      <c r="C154" s="15" t="inlineStr">
        <is>
          <t>DB / Security: Webhook POST not authenticated</t>
        </is>
      </c>
      <c r="D154" s="15" t="inlineStr">
        <is>
          <t>See command</t>
        </is>
      </c>
      <c r="E154" s="15" t="inlineStr">
        <is>
          <t>SB, ANON, JWT variables (§0.5)</t>
        </is>
      </c>
      <c r="F154" s="15" t="inlineStr">
        <is>
          <t>curl -X POST $SITE/inquiry-bot -H 'Content-Type: application/json' -d '{"object":"page","entry":[]}'</t>
        </is>
      </c>
      <c r="G154" s="15" t="inlineStr">
        <is>
          <t>Expected: reject requests without X-Hub-Signature-256. Current: 200 EVENT_RECEIVED → F-18</t>
        </is>
      </c>
      <c r="H154" s="9" t="inlineStr">
        <is>
          <t>P1</t>
        </is>
      </c>
      <c r="I154" s="15" t="inlineStr">
        <is>
          <t>—</t>
        </is>
      </c>
      <c r="J154" s="15" t="inlineStr">
        <is>
          <t>NFR-SEC-02, CON-01</t>
        </is>
      </c>
      <c r="K154" s="9" t="inlineStr">
        <is>
          <t>F-18</t>
        </is>
      </c>
      <c r="L154" s="9" t="inlineStr">
        <is>
          <t>Known deviation</t>
        </is>
      </c>
      <c r="M154" s="9" t="inlineStr">
        <is>
          <t>N</t>
        </is>
      </c>
      <c r="N154" s="16" t="inlineStr">
        <is>
          <t>Fail</t>
        </is>
      </c>
      <c r="O154" s="17" t="inlineStr">
        <is>
          <t>HTTP 200 EVENT_RECEIVED for an unsigned POST (no X-Hub-Signature-256)</t>
        </is>
      </c>
      <c r="P154" s="17" t="inlineStr">
        <is>
          <t>F-18</t>
        </is>
      </c>
      <c r="Q154" s="17" t="inlineStr">
        <is>
          <t>Claude (automated, no account)</t>
        </is>
      </c>
      <c r="R154" s="18" t="n">
        <v>46302</v>
      </c>
      <c r="S154" s="16" t="inlineStr">
        <is>
          <t>Live (Railway main); repo db90eeb</t>
        </is>
      </c>
      <c r="T154" s="17" t="n"/>
      <c r="U154" s="17" t="inlineStr">
        <is>
          <t>Test</t>
        </is>
      </c>
    </row>
    <row r="155">
      <c r="A155" s="11" t="inlineStr">
        <is>
          <t>DB-16</t>
        </is>
      </c>
      <c r="B155" s="9" t="inlineStr">
        <is>
          <t>DB / Security</t>
        </is>
      </c>
      <c r="C155" s="15" t="inlineStr">
        <is>
          <t>DB / Security: Host / origin guard</t>
        </is>
      </c>
      <c r="D155" s="15" t="inlineStr">
        <is>
          <t>See command</t>
        </is>
      </c>
      <c r="E155" s="15" t="inlineStr">
        <is>
          <t>SB, ANON, JWT variables (§0.5)</t>
        </is>
      </c>
      <c r="F155" s="15" t="inlineStr">
        <is>
          <t>curl -H 'Origin: https://evil.example' -X POST $SITE/inquiries ...</t>
        </is>
      </c>
      <c r="G155" s="15" t="inlineStr">
        <is>
          <t>403 This website origin is not allowed.</t>
        </is>
      </c>
      <c r="H155" s="9" t="inlineStr">
        <is>
          <t>P2</t>
        </is>
      </c>
      <c r="I155" s="15" t="inlineStr">
        <is>
          <t>—</t>
        </is>
      </c>
      <c r="J155" s="15" t="inlineStr">
        <is>
          <t>NFR-SEC-02</t>
        </is>
      </c>
      <c r="K155" s="9" t="inlineStr"/>
      <c r="L155" s="9" t="inlineStr">
        <is>
          <t>Expected to pass</t>
        </is>
      </c>
      <c r="M155" s="9" t="inlineStr">
        <is>
          <t>N</t>
        </is>
      </c>
      <c r="N155" s="16" t="inlineStr">
        <is>
          <t>Pass</t>
        </is>
      </c>
      <c r="O155" s="17" t="inlineStr">
        <is>
          <t>HTTP 403 'This website origin is not allowed.'</t>
        </is>
      </c>
      <c r="P155" s="17" t="n"/>
      <c r="Q155" s="17" t="inlineStr">
        <is>
          <t>Claude (automated, no account)</t>
        </is>
      </c>
      <c r="R155" s="18" t="n">
        <v>46302</v>
      </c>
      <c r="S155" s="16" t="inlineStr">
        <is>
          <t>Live (Railway main); repo db90eeb</t>
        </is>
      </c>
      <c r="T155" s="17" t="n"/>
      <c r="U155" s="17" t="inlineStr">
        <is>
          <t>Test</t>
        </is>
      </c>
    </row>
  </sheetData>
  <autoFilter ref="A1:U155"/>
  <conditionalFormatting sqref="N2:N15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conditionalFormatting sqref="L2:L155">
    <cfRule type="cellIs" priority="5" operator="equal" dxfId="4">
      <formula>"Known deviation"</formula>
    </cfRule>
  </conditionalFormatting>
  <dataValidations count="3">
    <dataValidation sqref="N2:N155" showDropDown="0" showInputMessage="0" showErrorMessage="0" allowBlank="0" errorTitle="Invalid status" error="Choose Not Run, Pass, Fail, Blocked or N/A" type="list">
      <formula1>"Not Run,Pass,Fail,Blocked,N/A"</formula1>
    </dataValidation>
    <dataValidation sqref="R2:R155" showDropDown="0" showInputMessage="0" showErrorMessage="0" allowBlank="1" type="date" operator="greaterThan">
      <formula1>DATE(2026,1,1)</formula1>
    </dataValidation>
    <dataValidation sqref="U2:U155" showDropDown="0" showInputMessage="0" showErrorMessage="0" allowBlank="1" type="list">
      <formula1>"Test,Automated test,Inspection,Analysis"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6" customWidth="1" min="2" max="2"/>
    <col width="10" customWidth="1" min="3" max="3"/>
    <col width="48" customWidth="1" min="4" max="4"/>
    <col width="9" customWidth="1" min="5" max="5"/>
    <col width="32" customWidth="1" min="6" max="6"/>
    <col width="20" customWidth="1" min="7" max="7"/>
    <col width="9" customWidth="1" min="8" max="8"/>
    <col width="7" customWidth="1" min="9" max="9"/>
    <col width="7" customWidth="1" min="10" max="10"/>
    <col width="8" customWidth="1" min="11" max="11"/>
    <col width="6" customWidth="1" min="12" max="12"/>
    <col width="8" customWidth="1" min="13" max="13"/>
    <col width="10" customWidth="1" min="14" max="14"/>
    <col width="12" customWidth="1" min="15" max="15"/>
  </cols>
  <sheetData>
    <row r="1" ht="32" customHeight="1">
      <c r="A1" s="14" t="inlineStr">
        <is>
          <t>Req ID</t>
        </is>
      </c>
      <c r="B1" s="14" t="inlineStr">
        <is>
          <t>Module</t>
        </is>
      </c>
      <c r="C1" s="14" t="inlineStr">
        <is>
          <t>SRS Section</t>
        </is>
      </c>
      <c r="D1" s="14" t="inlineStr">
        <is>
          <t>Requirement (summary)</t>
        </is>
      </c>
      <c r="E1" s="14" t="inlineStr">
        <is>
          <t>Type</t>
        </is>
      </c>
      <c r="F1" s="14" t="inlineStr">
        <is>
          <t>Linked Test Cases</t>
        </is>
      </c>
      <c r="G1" s="14" t="inlineStr">
        <is>
          <t>Linked Findings</t>
        </is>
      </c>
      <c r="H1" s="14" t="inlineStr">
        <is>
          <t># Test Cases</t>
        </is>
      </c>
      <c r="I1" s="14" t="inlineStr">
        <is>
          <t>Pass</t>
        </is>
      </c>
      <c r="J1" s="14" t="inlineStr">
        <is>
          <t>Fail</t>
        </is>
      </c>
      <c r="K1" s="14" t="inlineStr">
        <is>
          <t>Blocked</t>
        </is>
      </c>
      <c r="L1" s="14" t="inlineStr">
        <is>
          <t>N/A</t>
        </is>
      </c>
      <c r="M1" s="14" t="inlineStr">
        <is>
          <t>Not Run</t>
        </is>
      </c>
      <c r="N1" s="14" t="inlineStr">
        <is>
          <t>Executed %</t>
        </is>
      </c>
      <c r="O1" s="14" t="inlineStr">
        <is>
          <t>Verdict</t>
        </is>
      </c>
    </row>
    <row r="2">
      <c r="A2" s="11" t="inlineStr">
        <is>
          <t>REQ-INQ-001</t>
        </is>
      </c>
      <c r="B2" s="15" t="inlineStr">
        <is>
          <t>Inquiry Management</t>
        </is>
      </c>
      <c r="C2" s="9" t="inlineStr">
        <is>
          <t>§4.1.3</t>
        </is>
      </c>
      <c r="D2" s="15" t="inlineStr">
        <is>
          <t>Signed-in customers submit catering/event inquiries via web form; record created with status New</t>
        </is>
      </c>
      <c r="E2" s="9" t="inlineStr">
        <is>
          <t>MUST</t>
        </is>
      </c>
      <c r="F2" s="15" t="inlineStr">
        <is>
          <t>S-11, IQ-01, IQ-02, IQ-04</t>
        </is>
      </c>
      <c r="G2" s="15" t="inlineStr">
        <is>
          <t>F-07</t>
        </is>
      </c>
      <c r="H2" s="9">
        <f>COUNTIF('Test Cases'!$J$2:$J$155,"*"&amp;A2&amp;"*")</f>
        <v/>
      </c>
      <c r="I2" s="9">
        <f>COUNTIFS('Test Cases'!$J$2:$J$155,"*"&amp;A2&amp;"*",'Test Cases'!$N$2:$N$155,"Pass")</f>
        <v/>
      </c>
      <c r="J2" s="9">
        <f>COUNTIFS('Test Cases'!$J$2:$J$155,"*"&amp;A2&amp;"*",'Test Cases'!$N$2:$N$155,"Fail")</f>
        <v/>
      </c>
      <c r="K2" s="9">
        <f>COUNTIFS('Test Cases'!$J$2:$J$155,"*"&amp;A2&amp;"*",'Test Cases'!$N$2:$N$155,"Blocked")</f>
        <v/>
      </c>
      <c r="L2" s="9">
        <f>COUNTIFS('Test Cases'!$J$2:$J$155,"*"&amp;A2&amp;"*",'Test Cases'!$N$2:$N$155,"N/A")</f>
        <v/>
      </c>
      <c r="M2" s="9">
        <f>COUNTIFS('Test Cases'!$J$2:$J$155,"*"&amp;A2&amp;"*",'Test Cases'!$N$2:$N$155,"Not Run")</f>
        <v/>
      </c>
      <c r="N2" s="10">
        <f>IF(H2=0,0,(H2-M2)/H2)</f>
        <v/>
      </c>
      <c r="O2" s="9">
        <f>IF(H2=0,"No coverage",IF(J2&gt;0,"Fail",IF(M2=H2,"Not run",IF(I2+L2=H2,"Pass","In progress"))))</f>
        <v/>
      </c>
    </row>
    <row r="3">
      <c r="A3" s="11" t="inlineStr">
        <is>
          <t>REQ-INQ-002</t>
        </is>
      </c>
      <c r="B3" s="15" t="inlineStr">
        <is>
          <t>Inquiry Management</t>
        </is>
      </c>
      <c r="C3" s="9" t="inlineStr">
        <is>
          <t>§4.1.3</t>
        </is>
      </c>
      <c r="D3" s="15" t="inlineStr">
        <is>
          <t>Capture Facebook Messenger inquiries via Meta Graph API webhook; record within 30 s</t>
        </is>
      </c>
      <c r="E3" s="9" t="inlineStr">
        <is>
          <t>MUST</t>
        </is>
      </c>
      <c r="F3" s="15" t="inlineStr">
        <is>
          <t>S-16, S-20, IB-01, MA-01, MA-02, MA-04, MA-06</t>
        </is>
      </c>
      <c r="G3" s="15" t="inlineStr">
        <is>
          <t>—</t>
        </is>
      </c>
      <c r="H3" s="9">
        <f>COUNTIF('Test Cases'!$J$2:$J$155,"*"&amp;A3&amp;"*")</f>
        <v/>
      </c>
      <c r="I3" s="9">
        <f>COUNTIFS('Test Cases'!$J$2:$J$155,"*"&amp;A3&amp;"*",'Test Cases'!$N$2:$N$155,"Pass")</f>
        <v/>
      </c>
      <c r="J3" s="9">
        <f>COUNTIFS('Test Cases'!$J$2:$J$155,"*"&amp;A3&amp;"*",'Test Cases'!$N$2:$N$155,"Fail")</f>
        <v/>
      </c>
      <c r="K3" s="9">
        <f>COUNTIFS('Test Cases'!$J$2:$J$155,"*"&amp;A3&amp;"*",'Test Cases'!$N$2:$N$155,"Blocked")</f>
        <v/>
      </c>
      <c r="L3" s="9">
        <f>COUNTIFS('Test Cases'!$J$2:$J$155,"*"&amp;A3&amp;"*",'Test Cases'!$N$2:$N$155,"N/A")</f>
        <v/>
      </c>
      <c r="M3" s="9">
        <f>COUNTIFS('Test Cases'!$J$2:$J$155,"*"&amp;A3&amp;"*",'Test Cases'!$N$2:$N$155,"Not Run")</f>
        <v/>
      </c>
      <c r="N3" s="10">
        <f>IF(H3=0,0,(H3-M3)/H3)</f>
        <v/>
      </c>
      <c r="O3" s="9">
        <f>IF(H3=0,"No coverage",IF(J3&gt;0,"Fail",IF(M3=H3,"Not run",IF(I3+L3=H3,"Pass","In progress"))))</f>
        <v/>
      </c>
    </row>
    <row r="4">
      <c r="A4" s="11" t="inlineStr">
        <is>
          <t>REQ-INQ-003</t>
        </is>
      </c>
      <c r="B4" s="15" t="inlineStr">
        <is>
          <t>Inquiry Management</t>
        </is>
      </c>
      <c r="C4" s="9" t="inlineStr">
        <is>
          <t>§4.1.3</t>
        </is>
      </c>
      <c r="D4" s="15" t="inlineStr">
        <is>
          <t>Show the AI Agent's drafted reply to staff before any reply is sent</t>
        </is>
      </c>
      <c r="E4" s="9" t="inlineStr">
        <is>
          <t>MUST</t>
        </is>
      </c>
      <c r="F4" s="15" t="inlineStr">
        <is>
          <t>IB-08</t>
        </is>
      </c>
      <c r="G4" s="15" t="inlineStr">
        <is>
          <t>F-10</t>
        </is>
      </c>
      <c r="H4" s="9">
        <f>COUNTIF('Test Cases'!$J$2:$J$155,"*"&amp;A4&amp;"*")</f>
        <v/>
      </c>
      <c r="I4" s="9">
        <f>COUNTIFS('Test Cases'!$J$2:$J$155,"*"&amp;A4&amp;"*",'Test Cases'!$N$2:$N$155,"Pass")</f>
        <v/>
      </c>
      <c r="J4" s="9">
        <f>COUNTIFS('Test Cases'!$J$2:$J$155,"*"&amp;A4&amp;"*",'Test Cases'!$N$2:$N$155,"Fail")</f>
        <v/>
      </c>
      <c r="K4" s="9">
        <f>COUNTIFS('Test Cases'!$J$2:$J$155,"*"&amp;A4&amp;"*",'Test Cases'!$N$2:$N$155,"Blocked")</f>
        <v/>
      </c>
      <c r="L4" s="9">
        <f>COUNTIFS('Test Cases'!$J$2:$J$155,"*"&amp;A4&amp;"*",'Test Cases'!$N$2:$N$155,"N/A")</f>
        <v/>
      </c>
      <c r="M4" s="9">
        <f>COUNTIFS('Test Cases'!$J$2:$J$155,"*"&amp;A4&amp;"*",'Test Cases'!$N$2:$N$155,"Not Run")</f>
        <v/>
      </c>
      <c r="N4" s="10">
        <f>IF(H4=0,0,(H4-M4)/H4)</f>
        <v/>
      </c>
      <c r="O4" s="9">
        <f>IF(H4=0,"No coverage",IF(J4&gt;0,"Fail",IF(M4=H4,"Not run",IF(I4+L4=H4,"Pass","In progress"))))</f>
        <v/>
      </c>
    </row>
    <row r="5">
      <c r="A5" s="11" t="inlineStr">
        <is>
          <t>REQ-INQ-004</t>
        </is>
      </c>
      <c r="B5" s="15" t="inlineStr">
        <is>
          <t>Inquiry Management</t>
        </is>
      </c>
      <c r="C5" s="9" t="inlineStr">
        <is>
          <t>§4.1.3</t>
        </is>
      </c>
      <c r="D5" s="15" t="inlineStr">
        <is>
          <t>Staff edit and send the AI draft from the dashboard; set status In progress / Resolved</t>
        </is>
      </c>
      <c r="E5" s="9" t="inlineStr">
        <is>
          <t>MUST</t>
        </is>
      </c>
      <c r="F5" s="15" t="inlineStr">
        <is>
          <t>IQ-06, IB-04, IB-05, IB-06</t>
        </is>
      </c>
      <c r="G5" s="15" t="inlineStr">
        <is>
          <t>—</t>
        </is>
      </c>
      <c r="H5" s="9">
        <f>COUNTIF('Test Cases'!$J$2:$J$155,"*"&amp;A5&amp;"*")</f>
        <v/>
      </c>
      <c r="I5" s="9">
        <f>COUNTIFS('Test Cases'!$J$2:$J$155,"*"&amp;A5&amp;"*",'Test Cases'!$N$2:$N$155,"Pass")</f>
        <v/>
      </c>
      <c r="J5" s="9">
        <f>COUNTIFS('Test Cases'!$J$2:$J$155,"*"&amp;A5&amp;"*",'Test Cases'!$N$2:$N$155,"Fail")</f>
        <v/>
      </c>
      <c r="K5" s="9">
        <f>COUNTIFS('Test Cases'!$J$2:$J$155,"*"&amp;A5&amp;"*",'Test Cases'!$N$2:$N$155,"Blocked")</f>
        <v/>
      </c>
      <c r="L5" s="9">
        <f>COUNTIFS('Test Cases'!$J$2:$J$155,"*"&amp;A5&amp;"*",'Test Cases'!$N$2:$N$155,"N/A")</f>
        <v/>
      </c>
      <c r="M5" s="9">
        <f>COUNTIFS('Test Cases'!$J$2:$J$155,"*"&amp;A5&amp;"*",'Test Cases'!$N$2:$N$155,"Not Run")</f>
        <v/>
      </c>
      <c r="N5" s="10">
        <f>IF(H5=0,0,(H5-M5)/H5)</f>
        <v/>
      </c>
      <c r="O5" s="9">
        <f>IF(H5=0,"No coverage",IF(J5&gt;0,"Fail",IF(M5=H5,"Not run",IF(I5+L5=H5,"Pass","In progress"))))</f>
        <v/>
      </c>
    </row>
    <row r="6">
      <c r="A6" s="11" t="inlineStr">
        <is>
          <t>SEQ-INQ</t>
        </is>
      </c>
      <c r="B6" s="15" t="inlineStr">
        <is>
          <t>Inquiry Management</t>
        </is>
      </c>
      <c r="C6" s="9" t="inlineStr">
        <is>
          <t>§4.1.2</t>
        </is>
      </c>
      <c r="D6" s="15" t="inlineStr">
        <is>
          <t>Inquiry flow: received → created as New → acknowledgement ≤ 30 s → staff reply → status update</t>
        </is>
      </c>
      <c r="E6" s="9" t="inlineStr">
        <is>
          <t>Flow</t>
        </is>
      </c>
      <c r="F6" s="15" t="inlineStr">
        <is>
          <t>S-11, IQ-04, IQ-06, IQ-07, MA-03, MA-06</t>
        </is>
      </c>
      <c r="G6" s="15" t="inlineStr">
        <is>
          <t>F-07</t>
        </is>
      </c>
      <c r="H6" s="9">
        <f>COUNTIF('Test Cases'!$J$2:$J$155,"*"&amp;A6&amp;"*")</f>
        <v/>
      </c>
      <c r="I6" s="9">
        <f>COUNTIFS('Test Cases'!$J$2:$J$155,"*"&amp;A6&amp;"*",'Test Cases'!$N$2:$N$155,"Pass")</f>
        <v/>
      </c>
      <c r="J6" s="9">
        <f>COUNTIFS('Test Cases'!$J$2:$J$155,"*"&amp;A6&amp;"*",'Test Cases'!$N$2:$N$155,"Fail")</f>
        <v/>
      </c>
      <c r="K6" s="9">
        <f>COUNTIFS('Test Cases'!$J$2:$J$155,"*"&amp;A6&amp;"*",'Test Cases'!$N$2:$N$155,"Blocked")</f>
        <v/>
      </c>
      <c r="L6" s="9">
        <f>COUNTIFS('Test Cases'!$J$2:$J$155,"*"&amp;A6&amp;"*",'Test Cases'!$N$2:$N$155,"N/A")</f>
        <v/>
      </c>
      <c r="M6" s="9">
        <f>COUNTIFS('Test Cases'!$J$2:$J$155,"*"&amp;A6&amp;"*",'Test Cases'!$N$2:$N$155,"Not Run")</f>
        <v/>
      </c>
      <c r="N6" s="10">
        <f>IF(H6=0,0,(H6-M6)/H6)</f>
        <v/>
      </c>
      <c r="O6" s="9">
        <f>IF(H6=0,"No coverage",IF(J6&gt;0,"Fail",IF(M6=H6,"Not run",IF(I6+L6=H6,"Pass","In progress"))))</f>
        <v/>
      </c>
    </row>
    <row r="7">
      <c r="A7" s="11" t="inlineStr">
        <is>
          <t>REQ-RES-001</t>
        </is>
      </c>
      <c r="B7" s="15" t="inlineStr">
        <is>
          <t>Reservation</t>
        </is>
      </c>
      <c r="C7" s="9" t="inlineStr">
        <is>
          <t>§4.2.3</t>
        </is>
      </c>
      <c r="D7" s="15" t="inlineStr">
        <is>
          <t>Real-time calendar showing availability, blocked dates and open slots</t>
        </is>
      </c>
      <c r="E7" s="9" t="inlineStr">
        <is>
          <t>MUST</t>
        </is>
      </c>
      <c r="F7" s="15" t="inlineStr">
        <is>
          <t>S-09, FR-08, FR-09, FR-11, OP-07, DB-03, DB-11</t>
        </is>
      </c>
      <c r="G7" s="15" t="inlineStr">
        <is>
          <t>—</t>
        </is>
      </c>
      <c r="H7" s="9">
        <f>COUNTIF('Test Cases'!$J$2:$J$155,"*"&amp;A7&amp;"*")</f>
        <v/>
      </c>
      <c r="I7" s="9">
        <f>COUNTIFS('Test Cases'!$J$2:$J$155,"*"&amp;A7&amp;"*",'Test Cases'!$N$2:$N$155,"Pass")</f>
        <v/>
      </c>
      <c r="J7" s="9">
        <f>COUNTIFS('Test Cases'!$J$2:$J$155,"*"&amp;A7&amp;"*",'Test Cases'!$N$2:$N$155,"Fail")</f>
        <v/>
      </c>
      <c r="K7" s="9">
        <f>COUNTIFS('Test Cases'!$J$2:$J$155,"*"&amp;A7&amp;"*",'Test Cases'!$N$2:$N$155,"Blocked")</f>
        <v/>
      </c>
      <c r="L7" s="9">
        <f>COUNTIFS('Test Cases'!$J$2:$J$155,"*"&amp;A7&amp;"*",'Test Cases'!$N$2:$N$155,"N/A")</f>
        <v/>
      </c>
      <c r="M7" s="9">
        <f>COUNTIFS('Test Cases'!$J$2:$J$155,"*"&amp;A7&amp;"*",'Test Cases'!$N$2:$N$155,"Not Run")</f>
        <v/>
      </c>
      <c r="N7" s="10">
        <f>IF(H7=0,0,(H7-M7)/H7)</f>
        <v/>
      </c>
      <c r="O7" s="9">
        <f>IF(H7=0,"No coverage",IF(J7&gt;0,"Fail",IF(M7=H7,"Not run",IF(I7+L7=H7,"Pass","In progress"))))</f>
        <v/>
      </c>
    </row>
    <row r="8">
      <c r="A8" s="11" t="inlineStr">
        <is>
          <t>REQ-RES-002</t>
        </is>
      </c>
      <c r="B8" s="15" t="inlineStr">
        <is>
          <t>Reservation</t>
        </is>
      </c>
      <c r="C8" s="9" t="inlineStr">
        <is>
          <t>§4.2.3</t>
        </is>
      </c>
      <c r="D8" s="15" t="inlineStr">
        <is>
          <t>Database-level locking prevents simultaneous double-booking</t>
        </is>
      </c>
      <c r="E8" s="9" t="inlineStr">
        <is>
          <t>MUST</t>
        </is>
      </c>
      <c r="F8" s="15" t="inlineStr">
        <is>
          <t>CT-09, FR-08, OP-03, OP-04, DB-08, DB-09</t>
        </is>
      </c>
      <c r="G8" s="15" t="inlineStr">
        <is>
          <t>F-31</t>
        </is>
      </c>
      <c r="H8" s="9">
        <f>COUNTIF('Test Cases'!$J$2:$J$155,"*"&amp;A8&amp;"*")</f>
        <v/>
      </c>
      <c r="I8" s="9">
        <f>COUNTIFS('Test Cases'!$J$2:$J$155,"*"&amp;A8&amp;"*",'Test Cases'!$N$2:$N$155,"Pass")</f>
        <v/>
      </c>
      <c r="J8" s="9">
        <f>COUNTIFS('Test Cases'!$J$2:$J$155,"*"&amp;A8&amp;"*",'Test Cases'!$N$2:$N$155,"Fail")</f>
        <v/>
      </c>
      <c r="K8" s="9">
        <f>COUNTIFS('Test Cases'!$J$2:$J$155,"*"&amp;A8&amp;"*",'Test Cases'!$N$2:$N$155,"Blocked")</f>
        <v/>
      </c>
      <c r="L8" s="9">
        <f>COUNTIFS('Test Cases'!$J$2:$J$155,"*"&amp;A8&amp;"*",'Test Cases'!$N$2:$N$155,"N/A")</f>
        <v/>
      </c>
      <c r="M8" s="9">
        <f>COUNTIFS('Test Cases'!$J$2:$J$155,"*"&amp;A8&amp;"*",'Test Cases'!$N$2:$N$155,"Not Run")</f>
        <v/>
      </c>
      <c r="N8" s="10">
        <f>IF(H8=0,0,(H8-M8)/H8)</f>
        <v/>
      </c>
      <c r="O8" s="9">
        <f>IF(H8=0,"No coverage",IF(J8&gt;0,"Fail",IF(M8=H8,"Not run",IF(I8+L8=H8,"Pass","In progress"))))</f>
        <v/>
      </c>
    </row>
    <row r="9">
      <c r="A9" s="11" t="inlineStr">
        <is>
          <t>REQ-RES-003</t>
        </is>
      </c>
      <c r="B9" s="15" t="inlineStr">
        <is>
          <t>Reservation</t>
        </is>
      </c>
      <c r="C9" s="9" t="inlineStr">
        <is>
          <t>§4.2.3</t>
        </is>
      </c>
      <c r="D9" s="15" t="inlineStr">
        <is>
          <t>Minimum deposit via payment gateway before a reservation is locked</t>
        </is>
      </c>
      <c r="E9" s="9" t="inlineStr">
        <is>
          <t>MUST</t>
        </is>
      </c>
      <c r="F9" s="15" t="inlineStr">
        <is>
          <t>FR-10, DB-06</t>
        </is>
      </c>
      <c r="G9" s="15" t="inlineStr">
        <is>
          <t>F-04, F-12</t>
        </is>
      </c>
      <c r="H9" s="9">
        <f>COUNTIF('Test Cases'!$J$2:$J$155,"*"&amp;A9&amp;"*")</f>
        <v/>
      </c>
      <c r="I9" s="9">
        <f>COUNTIFS('Test Cases'!$J$2:$J$155,"*"&amp;A9&amp;"*",'Test Cases'!$N$2:$N$155,"Pass")</f>
        <v/>
      </c>
      <c r="J9" s="9">
        <f>COUNTIFS('Test Cases'!$J$2:$J$155,"*"&amp;A9&amp;"*",'Test Cases'!$N$2:$N$155,"Fail")</f>
        <v/>
      </c>
      <c r="K9" s="9">
        <f>COUNTIFS('Test Cases'!$J$2:$J$155,"*"&amp;A9&amp;"*",'Test Cases'!$N$2:$N$155,"Blocked")</f>
        <v/>
      </c>
      <c r="L9" s="9">
        <f>COUNTIFS('Test Cases'!$J$2:$J$155,"*"&amp;A9&amp;"*",'Test Cases'!$N$2:$N$155,"N/A")</f>
        <v/>
      </c>
      <c r="M9" s="9">
        <f>COUNTIFS('Test Cases'!$J$2:$J$155,"*"&amp;A9&amp;"*",'Test Cases'!$N$2:$N$155,"Not Run")</f>
        <v/>
      </c>
      <c r="N9" s="10">
        <f>IF(H9=0,0,(H9-M9)/H9)</f>
        <v/>
      </c>
      <c r="O9" s="9">
        <f>IF(H9=0,"No coverage",IF(J9&gt;0,"Fail",IF(M9=H9,"Not run",IF(I9+L9=H9,"Pass","In progress"))))</f>
        <v/>
      </c>
    </row>
    <row r="10">
      <c r="A10" s="11" t="inlineStr">
        <is>
          <t>REQ-RES-004</t>
        </is>
      </c>
      <c r="B10" s="15" t="inlineStr">
        <is>
          <t>Reservation</t>
        </is>
      </c>
      <c r="C10" s="9" t="inlineStr">
        <is>
          <t>§4.2.3</t>
        </is>
      </c>
      <c r="D10" s="15" t="inlineStr">
        <is>
          <t>Managers can block out dates/times (maintenance, private events)</t>
        </is>
      </c>
      <c r="E10" s="9" t="inlineStr">
        <is>
          <t>MUST</t>
        </is>
      </c>
      <c r="F10" s="15" t="inlineStr">
        <is>
          <t>FR-13</t>
        </is>
      </c>
      <c r="G10" s="15" t="inlineStr">
        <is>
          <t>F-14</t>
        </is>
      </c>
      <c r="H10" s="9">
        <f>COUNTIF('Test Cases'!$J$2:$J$155,"*"&amp;A10&amp;"*")</f>
        <v/>
      </c>
      <c r="I10" s="9">
        <f>COUNTIFS('Test Cases'!$J$2:$J$155,"*"&amp;A10&amp;"*",'Test Cases'!$N$2:$N$155,"Pass")</f>
        <v/>
      </c>
      <c r="J10" s="9">
        <f>COUNTIFS('Test Cases'!$J$2:$J$155,"*"&amp;A10&amp;"*",'Test Cases'!$N$2:$N$155,"Fail")</f>
        <v/>
      </c>
      <c r="K10" s="9">
        <f>COUNTIFS('Test Cases'!$J$2:$J$155,"*"&amp;A10&amp;"*",'Test Cases'!$N$2:$N$155,"Blocked")</f>
        <v/>
      </c>
      <c r="L10" s="9">
        <f>COUNTIFS('Test Cases'!$J$2:$J$155,"*"&amp;A10&amp;"*",'Test Cases'!$N$2:$N$155,"N/A")</f>
        <v/>
      </c>
      <c r="M10" s="9">
        <f>COUNTIFS('Test Cases'!$J$2:$J$155,"*"&amp;A10&amp;"*",'Test Cases'!$N$2:$N$155,"Not Run")</f>
        <v/>
      </c>
      <c r="N10" s="10">
        <f>IF(H10=0,0,(H10-M10)/H10)</f>
        <v/>
      </c>
      <c r="O10" s="9">
        <f>IF(H10=0,"No coverage",IF(J10&gt;0,"Fail",IF(M10=H10,"Not run",IF(I10+L10=H10,"Pass","In progress"))))</f>
        <v/>
      </c>
    </row>
    <row r="11">
      <c r="A11" s="11" t="inlineStr">
        <is>
          <t>REQ-RES-005</t>
        </is>
      </c>
      <c r="B11" s="15" t="inlineStr">
        <is>
          <t>Reservation</t>
        </is>
      </c>
      <c r="C11" s="9" t="inlineStr">
        <is>
          <t>§4.2.3</t>
        </is>
      </c>
      <c r="D11" s="15" t="inlineStr">
        <is>
          <t>Release a locked slot if the deposit is not paid within 10 minutes</t>
        </is>
      </c>
      <c r="E11" s="9" t="inlineStr">
        <is>
          <t>MUST</t>
        </is>
      </c>
      <c r="F11" s="15" t="inlineStr">
        <is>
          <t>FR-10</t>
        </is>
      </c>
      <c r="G11" s="15" t="inlineStr">
        <is>
          <t>F-05</t>
        </is>
      </c>
      <c r="H11" s="9">
        <f>COUNTIF('Test Cases'!$J$2:$J$155,"*"&amp;A11&amp;"*")</f>
        <v/>
      </c>
      <c r="I11" s="9">
        <f>COUNTIFS('Test Cases'!$J$2:$J$155,"*"&amp;A11&amp;"*",'Test Cases'!$N$2:$N$155,"Pass")</f>
        <v/>
      </c>
      <c r="J11" s="9">
        <f>COUNTIFS('Test Cases'!$J$2:$J$155,"*"&amp;A11&amp;"*",'Test Cases'!$N$2:$N$155,"Fail")</f>
        <v/>
      </c>
      <c r="K11" s="9">
        <f>COUNTIFS('Test Cases'!$J$2:$J$155,"*"&amp;A11&amp;"*",'Test Cases'!$N$2:$N$155,"Blocked")</f>
        <v/>
      </c>
      <c r="L11" s="9">
        <f>COUNTIFS('Test Cases'!$J$2:$J$155,"*"&amp;A11&amp;"*",'Test Cases'!$N$2:$N$155,"N/A")</f>
        <v/>
      </c>
      <c r="M11" s="9">
        <f>COUNTIFS('Test Cases'!$J$2:$J$155,"*"&amp;A11&amp;"*",'Test Cases'!$N$2:$N$155,"Not Run")</f>
        <v/>
      </c>
      <c r="N11" s="10">
        <f>IF(H11=0,0,(H11-M11)/H11)</f>
        <v/>
      </c>
      <c r="O11" s="9">
        <f>IF(H11=0,"No coverage",IF(J11&gt;0,"Fail",IF(M11=H11,"Not run",IF(I11+L11=H11,"Pass","In progress"))))</f>
        <v/>
      </c>
    </row>
    <row r="12">
      <c r="A12" s="11" t="inlineStr">
        <is>
          <t>SEQ-RES</t>
        </is>
      </c>
      <c r="B12" s="15" t="inlineStr">
        <is>
          <t>Reservation</t>
        </is>
      </c>
      <c r="C12" s="9" t="inlineStr">
        <is>
          <t>§4.2.2</t>
        </is>
      </c>
      <c r="D12" s="15" t="inlineStr">
        <is>
          <t>Booking flow: select room/date/time/duration → atomic check → 10-min lock → Pending Deposit → Confirmed; 'Already Reserved' on conflict</t>
        </is>
      </c>
      <c r="E12" s="9" t="inlineStr">
        <is>
          <t>Flow</t>
        </is>
      </c>
      <c r="F12" s="15" t="inlineStr">
        <is>
          <t>S-13, CT-09, FR-08, FR-11, FR-15, OP-02</t>
        </is>
      </c>
      <c r="G12" s="15" t="inlineStr">
        <is>
          <t>F-28</t>
        </is>
      </c>
      <c r="H12" s="9">
        <f>COUNTIF('Test Cases'!$J$2:$J$155,"*"&amp;A12&amp;"*")</f>
        <v/>
      </c>
      <c r="I12" s="9">
        <f>COUNTIFS('Test Cases'!$J$2:$J$155,"*"&amp;A12&amp;"*",'Test Cases'!$N$2:$N$155,"Pass")</f>
        <v/>
      </c>
      <c r="J12" s="9">
        <f>COUNTIFS('Test Cases'!$J$2:$J$155,"*"&amp;A12&amp;"*",'Test Cases'!$N$2:$N$155,"Fail")</f>
        <v/>
      </c>
      <c r="K12" s="9">
        <f>COUNTIFS('Test Cases'!$J$2:$J$155,"*"&amp;A12&amp;"*",'Test Cases'!$N$2:$N$155,"Blocked")</f>
        <v/>
      </c>
      <c r="L12" s="9">
        <f>COUNTIFS('Test Cases'!$J$2:$J$155,"*"&amp;A12&amp;"*",'Test Cases'!$N$2:$N$155,"N/A")</f>
        <v/>
      </c>
      <c r="M12" s="9">
        <f>COUNTIFS('Test Cases'!$J$2:$J$155,"*"&amp;A12&amp;"*",'Test Cases'!$N$2:$N$155,"Not Run")</f>
        <v/>
      </c>
      <c r="N12" s="10">
        <f>IF(H12=0,0,(H12-M12)/H12)</f>
        <v/>
      </c>
      <c r="O12" s="9">
        <f>IF(H12=0,"No coverage",IF(J12&gt;0,"Fail",IF(M12=H12,"Not run",IF(I12+L12=H12,"Pass","In progress"))))</f>
        <v/>
      </c>
    </row>
    <row r="13">
      <c r="A13" s="11" t="inlineStr">
        <is>
          <t>REQ-DEL-001</t>
        </is>
      </c>
      <c r="B13" s="15" t="inlineStr">
        <is>
          <t>Food Delivery</t>
        </is>
      </c>
      <c r="C13" s="9" t="inlineStr">
        <is>
          <t>§4.3.3</t>
        </is>
      </c>
      <c r="D13" s="15" t="inlineStr">
        <is>
          <t>Categorised menu with photos, descriptions, pricing and allergen/dietary tags</t>
        </is>
      </c>
      <c r="E13" s="9" t="inlineStr">
        <is>
          <t>MUST</t>
        </is>
      </c>
      <c r="F13" s="15" t="inlineStr">
        <is>
          <t>DO-01, DO-03, DO-13</t>
        </is>
      </c>
      <c r="G13" s="15" t="inlineStr">
        <is>
          <t>F-23</t>
        </is>
      </c>
      <c r="H13" s="9">
        <f>COUNTIF('Test Cases'!$J$2:$J$155,"*"&amp;A13&amp;"*")</f>
        <v/>
      </c>
      <c r="I13" s="9">
        <f>COUNTIFS('Test Cases'!$J$2:$J$155,"*"&amp;A13&amp;"*",'Test Cases'!$N$2:$N$155,"Pass")</f>
        <v/>
      </c>
      <c r="J13" s="9">
        <f>COUNTIFS('Test Cases'!$J$2:$J$155,"*"&amp;A13&amp;"*",'Test Cases'!$N$2:$N$155,"Fail")</f>
        <v/>
      </c>
      <c r="K13" s="9">
        <f>COUNTIFS('Test Cases'!$J$2:$J$155,"*"&amp;A13&amp;"*",'Test Cases'!$N$2:$N$155,"Blocked")</f>
        <v/>
      </c>
      <c r="L13" s="9">
        <f>COUNTIFS('Test Cases'!$J$2:$J$155,"*"&amp;A13&amp;"*",'Test Cases'!$N$2:$N$155,"N/A")</f>
        <v/>
      </c>
      <c r="M13" s="9">
        <f>COUNTIFS('Test Cases'!$J$2:$J$155,"*"&amp;A13&amp;"*",'Test Cases'!$N$2:$N$155,"Not Run")</f>
        <v/>
      </c>
      <c r="N13" s="10">
        <f>IF(H13=0,0,(H13-M13)/H13)</f>
        <v/>
      </c>
      <c r="O13" s="9">
        <f>IF(H13=0,"No coverage",IF(J13&gt;0,"Fail",IF(M13=H13,"Not run",IF(I13+L13=H13,"Pass","In progress"))))</f>
        <v/>
      </c>
    </row>
    <row r="14">
      <c r="A14" s="11" t="inlineStr">
        <is>
          <t>REQ-DEL-002</t>
        </is>
      </c>
      <c r="B14" s="15" t="inlineStr">
        <is>
          <t>Food Delivery</t>
        </is>
      </c>
      <c r="C14" s="9" t="inlineStr">
        <is>
          <t>§4.3.3</t>
        </is>
      </c>
      <c r="D14" s="15" t="inlineStr">
        <is>
          <t>Dynamic cart, item customisation notes, subtotal and delivery fee</t>
        </is>
      </c>
      <c r="E14" s="9" t="inlineStr">
        <is>
          <t>MUST</t>
        </is>
      </c>
      <c r="F14" s="15" t="inlineStr">
        <is>
          <t>DO-02, DO-04, DO-14</t>
        </is>
      </c>
      <c r="G14" s="15" t="inlineStr">
        <is>
          <t>F-24</t>
        </is>
      </c>
      <c r="H14" s="9">
        <f>COUNTIF('Test Cases'!$J$2:$J$155,"*"&amp;A14&amp;"*")</f>
        <v/>
      </c>
      <c r="I14" s="9">
        <f>COUNTIFS('Test Cases'!$J$2:$J$155,"*"&amp;A14&amp;"*",'Test Cases'!$N$2:$N$155,"Pass")</f>
        <v/>
      </c>
      <c r="J14" s="9">
        <f>COUNTIFS('Test Cases'!$J$2:$J$155,"*"&amp;A14&amp;"*",'Test Cases'!$N$2:$N$155,"Fail")</f>
        <v/>
      </c>
      <c r="K14" s="9">
        <f>COUNTIFS('Test Cases'!$J$2:$J$155,"*"&amp;A14&amp;"*",'Test Cases'!$N$2:$N$155,"Blocked")</f>
        <v/>
      </c>
      <c r="L14" s="9">
        <f>COUNTIFS('Test Cases'!$J$2:$J$155,"*"&amp;A14&amp;"*",'Test Cases'!$N$2:$N$155,"N/A")</f>
        <v/>
      </c>
      <c r="M14" s="9">
        <f>COUNTIFS('Test Cases'!$J$2:$J$155,"*"&amp;A14&amp;"*",'Test Cases'!$N$2:$N$155,"Not Run")</f>
        <v/>
      </c>
      <c r="N14" s="10">
        <f>IF(H14=0,0,(H14-M14)/H14)</f>
        <v/>
      </c>
      <c r="O14" s="9">
        <f>IF(H14=0,"No coverage",IF(J14&gt;0,"Fail",IF(M14=H14,"Not run",IF(I14+L14=H14,"Pass","In progress"))))</f>
        <v/>
      </c>
    </row>
    <row r="15">
      <c r="A15" s="11" t="inlineStr">
        <is>
          <t>REQ-DEL-003</t>
        </is>
      </c>
      <c r="B15" s="15" t="inlineStr">
        <is>
          <t>Food Delivery</t>
        </is>
      </c>
      <c r="C15" s="9" t="inlineStr">
        <is>
          <t>§4.3.3</t>
        </is>
      </c>
      <c r="D15" s="15" t="inlineStr">
        <is>
          <t>Card and e-wallet (GCash/PayMaya) payment via PCI-DSS checkout</t>
        </is>
      </c>
      <c r="E15" s="9" t="inlineStr">
        <is>
          <t>MUST</t>
        </is>
      </c>
      <c r="F15" s="15" t="inlineStr">
        <is>
          <t>DO-10</t>
        </is>
      </c>
      <c r="G15" s="15" t="inlineStr">
        <is>
          <t>F-04</t>
        </is>
      </c>
      <c r="H15" s="9">
        <f>COUNTIF('Test Cases'!$J$2:$J$155,"*"&amp;A15&amp;"*")</f>
        <v/>
      </c>
      <c r="I15" s="9">
        <f>COUNTIFS('Test Cases'!$J$2:$J$155,"*"&amp;A15&amp;"*",'Test Cases'!$N$2:$N$155,"Pass")</f>
        <v/>
      </c>
      <c r="J15" s="9">
        <f>COUNTIFS('Test Cases'!$J$2:$J$155,"*"&amp;A15&amp;"*",'Test Cases'!$N$2:$N$155,"Fail")</f>
        <v/>
      </c>
      <c r="K15" s="9">
        <f>COUNTIFS('Test Cases'!$J$2:$J$155,"*"&amp;A15&amp;"*",'Test Cases'!$N$2:$N$155,"Blocked")</f>
        <v/>
      </c>
      <c r="L15" s="9">
        <f>COUNTIFS('Test Cases'!$J$2:$J$155,"*"&amp;A15&amp;"*",'Test Cases'!$N$2:$N$155,"N/A")</f>
        <v/>
      </c>
      <c r="M15" s="9">
        <f>COUNTIFS('Test Cases'!$J$2:$J$155,"*"&amp;A15&amp;"*",'Test Cases'!$N$2:$N$155,"Not Run")</f>
        <v/>
      </c>
      <c r="N15" s="10">
        <f>IF(H15=0,0,(H15-M15)/H15)</f>
        <v/>
      </c>
      <c r="O15" s="9">
        <f>IF(H15=0,"No coverage",IF(J15&gt;0,"Fail",IF(M15=H15,"Not run",IF(I15+L15=H15,"Pass","In progress"))))</f>
        <v/>
      </c>
    </row>
    <row r="16">
      <c r="A16" s="11" t="inlineStr">
        <is>
          <t>REQ-DEL-004</t>
        </is>
      </c>
      <c r="B16" s="15" t="inlineStr">
        <is>
          <t>Food Delivery</t>
        </is>
      </c>
      <c r="C16" s="9" t="inlineStr">
        <is>
          <t>§4.3.3</t>
        </is>
      </c>
      <c r="D16" s="15" t="inlineStr">
        <is>
          <t>Live order tracking for customers and real-time status toggle for staff</t>
        </is>
      </c>
      <c r="E16" s="9" t="inlineStr">
        <is>
          <t>MUST</t>
        </is>
      </c>
      <c r="F16" s="15" t="inlineStr">
        <is>
          <t>S-06, S-10, S-15, S-19, DO-08, DO-09, DO-11, DS-01, DS-02, PR-06, PR-07</t>
        </is>
      </c>
      <c r="G16" s="15" t="inlineStr">
        <is>
          <t>F-01, F-02</t>
        </is>
      </c>
      <c r="H16" s="9">
        <f>COUNTIF('Test Cases'!$J$2:$J$155,"*"&amp;A16&amp;"*")</f>
        <v/>
      </c>
      <c r="I16" s="9">
        <f>COUNTIFS('Test Cases'!$J$2:$J$155,"*"&amp;A16&amp;"*",'Test Cases'!$N$2:$N$155,"Pass")</f>
        <v/>
      </c>
      <c r="J16" s="9">
        <f>COUNTIFS('Test Cases'!$J$2:$J$155,"*"&amp;A16&amp;"*",'Test Cases'!$N$2:$N$155,"Fail")</f>
        <v/>
      </c>
      <c r="K16" s="9">
        <f>COUNTIFS('Test Cases'!$J$2:$J$155,"*"&amp;A16&amp;"*",'Test Cases'!$N$2:$N$155,"Blocked")</f>
        <v/>
      </c>
      <c r="L16" s="9">
        <f>COUNTIFS('Test Cases'!$J$2:$J$155,"*"&amp;A16&amp;"*",'Test Cases'!$N$2:$N$155,"N/A")</f>
        <v/>
      </c>
      <c r="M16" s="9">
        <f>COUNTIFS('Test Cases'!$J$2:$J$155,"*"&amp;A16&amp;"*",'Test Cases'!$N$2:$N$155,"Not Run")</f>
        <v/>
      </c>
      <c r="N16" s="10">
        <f>IF(H16=0,0,(H16-M16)/H16)</f>
        <v/>
      </c>
      <c r="O16" s="9">
        <f>IF(H16=0,"No coverage",IF(J16&gt;0,"Fail",IF(M16=H16,"Not run",IF(I16+L16=H16,"Pass","In progress"))))</f>
        <v/>
      </c>
    </row>
    <row r="17">
      <c r="A17" s="11" t="inlineStr">
        <is>
          <t>SEQ-DEL</t>
        </is>
      </c>
      <c r="B17" s="15" t="inlineStr">
        <is>
          <t>Food Delivery</t>
        </is>
      </c>
      <c r="C17" s="9" t="inlineStr">
        <is>
          <t>§4.3.2</t>
        </is>
      </c>
      <c r="D17" s="15" t="inlineStr">
        <is>
          <t>Order flow: select → address/contact/payment → payment → staff chime + docket → Received → Preparing → Out for Delivery → Delivered</t>
        </is>
      </c>
      <c r="E17" s="9" t="inlineStr">
        <is>
          <t>Flow</t>
        </is>
      </c>
      <c r="F17" s="15" t="inlineStr">
        <is>
          <t>S-06, DO-06, DO-14, DS-14</t>
        </is>
      </c>
      <c r="G17" s="15" t="inlineStr">
        <is>
          <t>F-20, F-26</t>
        </is>
      </c>
      <c r="H17" s="9">
        <f>COUNTIF('Test Cases'!$J$2:$J$155,"*"&amp;A17&amp;"*")</f>
        <v/>
      </c>
      <c r="I17" s="9">
        <f>COUNTIFS('Test Cases'!$J$2:$J$155,"*"&amp;A17&amp;"*",'Test Cases'!$N$2:$N$155,"Pass")</f>
        <v/>
      </c>
      <c r="J17" s="9">
        <f>COUNTIFS('Test Cases'!$J$2:$J$155,"*"&amp;A17&amp;"*",'Test Cases'!$N$2:$N$155,"Fail")</f>
        <v/>
      </c>
      <c r="K17" s="9">
        <f>COUNTIFS('Test Cases'!$J$2:$J$155,"*"&amp;A17&amp;"*",'Test Cases'!$N$2:$N$155,"Blocked")</f>
        <v/>
      </c>
      <c r="L17" s="9">
        <f>COUNTIFS('Test Cases'!$J$2:$J$155,"*"&amp;A17&amp;"*",'Test Cases'!$N$2:$N$155,"N/A")</f>
        <v/>
      </c>
      <c r="M17" s="9">
        <f>COUNTIFS('Test Cases'!$J$2:$J$155,"*"&amp;A17&amp;"*",'Test Cases'!$N$2:$N$155,"Not Run")</f>
        <v/>
      </c>
      <c r="N17" s="10">
        <f>IF(H17=0,0,(H17-M17)/H17)</f>
        <v/>
      </c>
      <c r="O17" s="9">
        <f>IF(H17=0,"No coverage",IF(J17&gt;0,"Fail",IF(M17=H17,"Not run",IF(I17+L17=H17,"Pass","In progress"))))</f>
        <v/>
      </c>
    </row>
    <row r="18">
      <c r="A18" s="11" t="inlineStr">
        <is>
          <t>REQ-ADM-001</t>
        </is>
      </c>
      <c r="B18" s="15" t="inlineStr">
        <is>
          <t>Website &amp; Admin</t>
        </is>
      </c>
      <c r="C18" s="9" t="inlineStr">
        <is>
          <t>§4.4.3</t>
        </is>
      </c>
      <c r="D18" s="15" t="inlineStr">
        <is>
          <t>JWT role-based access control for Staff, Manager, Administrator and Delivery Rider</t>
        </is>
      </c>
      <c r="E18" s="9" t="inlineStr">
        <is>
          <t>MUST</t>
        </is>
      </c>
      <c r="F18" s="15" t="inlineStr">
        <is>
          <t>S-01, S-03, S-12, S-18, AU-01, AU-05, AU-09, AU-10, IB-09, PR-04, RM-01, RM-02, RM-03, RM-04, RM-05, RM-06, DB-04, DB-07, DB-14</t>
        </is>
      </c>
      <c r="G18" s="15" t="inlineStr">
        <is>
          <t>F-17</t>
        </is>
      </c>
      <c r="H18" s="9">
        <f>COUNTIF('Test Cases'!$J$2:$J$155,"*"&amp;A18&amp;"*")</f>
        <v/>
      </c>
      <c r="I18" s="9">
        <f>COUNTIFS('Test Cases'!$J$2:$J$155,"*"&amp;A18&amp;"*",'Test Cases'!$N$2:$N$155,"Pass")</f>
        <v/>
      </c>
      <c r="J18" s="9">
        <f>COUNTIFS('Test Cases'!$J$2:$J$155,"*"&amp;A18&amp;"*",'Test Cases'!$N$2:$N$155,"Fail")</f>
        <v/>
      </c>
      <c r="K18" s="9">
        <f>COUNTIFS('Test Cases'!$J$2:$J$155,"*"&amp;A18&amp;"*",'Test Cases'!$N$2:$N$155,"Blocked")</f>
        <v/>
      </c>
      <c r="L18" s="9">
        <f>COUNTIFS('Test Cases'!$J$2:$J$155,"*"&amp;A18&amp;"*",'Test Cases'!$N$2:$N$155,"N/A")</f>
        <v/>
      </c>
      <c r="M18" s="9">
        <f>COUNTIFS('Test Cases'!$J$2:$J$155,"*"&amp;A18&amp;"*",'Test Cases'!$N$2:$N$155,"Not Run")</f>
        <v/>
      </c>
      <c r="N18" s="10">
        <f>IF(H18=0,0,(H18-M18)/H18)</f>
        <v/>
      </c>
      <c r="O18" s="9">
        <f>IF(H18=0,"No coverage",IF(J18&gt;0,"Fail",IF(M18=H18,"Not run",IF(I18+L18=H18,"Pass","In progress"))))</f>
        <v/>
      </c>
    </row>
    <row r="19">
      <c r="A19" s="11" t="inlineStr">
        <is>
          <t>REQ-ADM-002</t>
        </is>
      </c>
      <c r="B19" s="15" t="inlineStr">
        <is>
          <t>Website &amp; Admin</t>
        </is>
      </c>
      <c r="C19" s="9" t="inlineStr">
        <is>
          <t>§4.4.3</t>
        </is>
      </c>
      <c r="D19" s="15" t="inlineStr">
        <is>
          <t>Unified operations dashboard with real-time manifests of orders, bookings and inquiries</t>
        </is>
      </c>
      <c r="E19" s="9" t="inlineStr">
        <is>
          <t>MUST</t>
        </is>
      </c>
      <c r="F19" s="15" t="inlineStr">
        <is>
          <t>S-13, S-14, DS-01, IQ-05, OP-01, OP-02, OP-08, DB-12</t>
        </is>
      </c>
      <c r="G19" s="15" t="inlineStr">
        <is>
          <t>F-01</t>
        </is>
      </c>
      <c r="H19" s="9">
        <f>COUNTIF('Test Cases'!$J$2:$J$155,"*"&amp;A19&amp;"*")</f>
        <v/>
      </c>
      <c r="I19" s="9">
        <f>COUNTIFS('Test Cases'!$J$2:$J$155,"*"&amp;A19&amp;"*",'Test Cases'!$N$2:$N$155,"Pass")</f>
        <v/>
      </c>
      <c r="J19" s="9">
        <f>COUNTIFS('Test Cases'!$J$2:$J$155,"*"&amp;A19&amp;"*",'Test Cases'!$N$2:$N$155,"Fail")</f>
        <v/>
      </c>
      <c r="K19" s="9">
        <f>COUNTIFS('Test Cases'!$J$2:$J$155,"*"&amp;A19&amp;"*",'Test Cases'!$N$2:$N$155,"Blocked")</f>
        <v/>
      </c>
      <c r="L19" s="9">
        <f>COUNTIFS('Test Cases'!$J$2:$J$155,"*"&amp;A19&amp;"*",'Test Cases'!$N$2:$N$155,"N/A")</f>
        <v/>
      </c>
      <c r="M19" s="9">
        <f>COUNTIFS('Test Cases'!$J$2:$J$155,"*"&amp;A19&amp;"*",'Test Cases'!$N$2:$N$155,"Not Run")</f>
        <v/>
      </c>
      <c r="N19" s="10">
        <f>IF(H19=0,0,(H19-M19)/H19)</f>
        <v/>
      </c>
      <c r="O19" s="9">
        <f>IF(H19=0,"No coverage",IF(J19&gt;0,"Fail",IF(M19=H19,"Not run",IF(I19+L19=H19,"Pass","In progress"))))</f>
        <v/>
      </c>
    </row>
    <row r="20">
      <c r="A20" s="11" t="inlineStr">
        <is>
          <t>REQ-ADM-003</t>
        </is>
      </c>
      <c r="B20" s="15" t="inlineStr">
        <is>
          <t>Website &amp; Admin</t>
        </is>
      </c>
      <c r="C20" s="9" t="inlineStr">
        <is>
          <t>§4.4.3</t>
        </is>
      </c>
      <c r="D20" s="15" t="inlineStr">
        <is>
          <t>Authorised managers edit item availability, prices and dish photos</t>
        </is>
      </c>
      <c r="E20" s="9" t="inlineStr">
        <is>
          <t>MUST</t>
        </is>
      </c>
      <c r="F20" s="15" t="inlineStr">
        <is>
          <t>DS-05, DS-06, DS-07</t>
        </is>
      </c>
      <c r="G20" s="15" t="inlineStr">
        <is>
          <t>F-09, F-32</t>
        </is>
      </c>
      <c r="H20" s="9">
        <f>COUNTIF('Test Cases'!$J$2:$J$155,"*"&amp;A20&amp;"*")</f>
        <v/>
      </c>
      <c r="I20" s="9">
        <f>COUNTIFS('Test Cases'!$J$2:$J$155,"*"&amp;A20&amp;"*",'Test Cases'!$N$2:$N$155,"Pass")</f>
        <v/>
      </c>
      <c r="J20" s="9">
        <f>COUNTIFS('Test Cases'!$J$2:$J$155,"*"&amp;A20&amp;"*",'Test Cases'!$N$2:$N$155,"Fail")</f>
        <v/>
      </c>
      <c r="K20" s="9">
        <f>COUNTIFS('Test Cases'!$J$2:$J$155,"*"&amp;A20&amp;"*",'Test Cases'!$N$2:$N$155,"Blocked")</f>
        <v/>
      </c>
      <c r="L20" s="9">
        <f>COUNTIFS('Test Cases'!$J$2:$J$155,"*"&amp;A20&amp;"*",'Test Cases'!$N$2:$N$155,"N/A")</f>
        <v/>
      </c>
      <c r="M20" s="9">
        <f>COUNTIFS('Test Cases'!$J$2:$J$155,"*"&amp;A20&amp;"*",'Test Cases'!$N$2:$N$155,"Not Run")</f>
        <v/>
      </c>
      <c r="N20" s="10">
        <f>IF(H20=0,0,(H20-M20)/H20)</f>
        <v/>
      </c>
      <c r="O20" s="9">
        <f>IF(H20=0,"No coverage",IF(J20&gt;0,"Fail",IF(M20=H20,"Not run",IF(I20+L20=H20,"Pass","In progress"))))</f>
        <v/>
      </c>
    </row>
    <row r="21">
      <c r="A21" s="11" t="inlineStr">
        <is>
          <t>REQ-ADM-004</t>
        </is>
      </c>
      <c r="B21" s="15" t="inlineStr">
        <is>
          <t>Website &amp; Admin</t>
        </is>
      </c>
      <c r="C21" s="9" t="inlineStr">
        <is>
          <t>§4.4.3</t>
        </is>
      </c>
      <c r="D21" s="15" t="inlineStr">
        <is>
          <t>Exportable daily/monthly sales, direct vs. third-party and room-utilisation reports</t>
        </is>
      </c>
      <c r="E21" s="9" t="inlineStr">
        <is>
          <t>MUST</t>
        </is>
      </c>
      <c r="F21" s="15" t="inlineStr">
        <is>
          <t>OP-09</t>
        </is>
      </c>
      <c r="G21" s="15" t="inlineStr">
        <is>
          <t>F-22</t>
        </is>
      </c>
      <c r="H21" s="9">
        <f>COUNTIF('Test Cases'!$J$2:$J$155,"*"&amp;A21&amp;"*")</f>
        <v/>
      </c>
      <c r="I21" s="9">
        <f>COUNTIFS('Test Cases'!$J$2:$J$155,"*"&amp;A21&amp;"*",'Test Cases'!$N$2:$N$155,"Pass")</f>
        <v/>
      </c>
      <c r="J21" s="9">
        <f>COUNTIFS('Test Cases'!$J$2:$J$155,"*"&amp;A21&amp;"*",'Test Cases'!$N$2:$N$155,"Fail")</f>
        <v/>
      </c>
      <c r="K21" s="9">
        <f>COUNTIFS('Test Cases'!$J$2:$J$155,"*"&amp;A21&amp;"*",'Test Cases'!$N$2:$N$155,"Blocked")</f>
        <v/>
      </c>
      <c r="L21" s="9">
        <f>COUNTIFS('Test Cases'!$J$2:$J$155,"*"&amp;A21&amp;"*",'Test Cases'!$N$2:$N$155,"N/A")</f>
        <v/>
      </c>
      <c r="M21" s="9">
        <f>COUNTIFS('Test Cases'!$J$2:$J$155,"*"&amp;A21&amp;"*",'Test Cases'!$N$2:$N$155,"Not Run")</f>
        <v/>
      </c>
      <c r="N21" s="10">
        <f>IF(H21=0,0,(H21-M21)/H21)</f>
        <v/>
      </c>
      <c r="O21" s="9">
        <f>IF(H21=0,"No coverage",IF(J21&gt;0,"Fail",IF(M21=H21,"Not run",IF(I21+L21=H21,"Pass","In progress"))))</f>
        <v/>
      </c>
    </row>
    <row r="22">
      <c r="A22" s="11" t="inlineStr">
        <is>
          <t>SEQ-ADM</t>
        </is>
      </c>
      <c r="B22" s="15" t="inlineStr">
        <is>
          <t>Website &amp; Admin</t>
        </is>
      </c>
      <c r="C22" s="9" t="inlineStr">
        <is>
          <t>§4.4.2</t>
        </is>
      </c>
      <c r="D22" s="15" t="inlineStr">
        <is>
          <t>Dashboard flow: staff login → role check → widgets (deliveries, occupancy, inquiries, revenue) → edits persist to storefront</t>
        </is>
      </c>
      <c r="E22" s="9" t="inlineStr">
        <is>
          <t>Flow</t>
        </is>
      </c>
      <c r="F22" s="15" t="inlineStr">
        <is>
          <t>DS-06, OP-08</t>
        </is>
      </c>
      <c r="G22" s="15" t="inlineStr">
        <is>
          <t>F-09, F-30, F-32</t>
        </is>
      </c>
      <c r="H22" s="9">
        <f>COUNTIF('Test Cases'!$J$2:$J$155,"*"&amp;A22&amp;"*")</f>
        <v/>
      </c>
      <c r="I22" s="9">
        <f>COUNTIFS('Test Cases'!$J$2:$J$155,"*"&amp;A22&amp;"*",'Test Cases'!$N$2:$N$155,"Pass")</f>
        <v/>
      </c>
      <c r="J22" s="9">
        <f>COUNTIFS('Test Cases'!$J$2:$J$155,"*"&amp;A22&amp;"*",'Test Cases'!$N$2:$N$155,"Fail")</f>
        <v/>
      </c>
      <c r="K22" s="9">
        <f>COUNTIFS('Test Cases'!$J$2:$J$155,"*"&amp;A22&amp;"*",'Test Cases'!$N$2:$N$155,"Blocked")</f>
        <v/>
      </c>
      <c r="L22" s="9">
        <f>COUNTIFS('Test Cases'!$J$2:$J$155,"*"&amp;A22&amp;"*",'Test Cases'!$N$2:$N$155,"N/A")</f>
        <v/>
      </c>
      <c r="M22" s="9">
        <f>COUNTIFS('Test Cases'!$J$2:$J$155,"*"&amp;A22&amp;"*",'Test Cases'!$N$2:$N$155,"Not Run")</f>
        <v/>
      </c>
      <c r="N22" s="10">
        <f>IF(H22=0,0,(H22-M22)/H22)</f>
        <v/>
      </c>
      <c r="O22" s="9">
        <f>IF(H22=0,"No coverage",IF(J22&gt;0,"Fail",IF(M22=H22,"Not run",IF(I22+L22=H22,"Pass","In progress"))))</f>
        <v/>
      </c>
    </row>
    <row r="23">
      <c r="A23" s="11" t="inlineStr">
        <is>
          <t>UR-CUST</t>
        </is>
      </c>
      <c r="B23" s="15" t="inlineStr">
        <is>
          <t>User classes</t>
        </is>
      </c>
      <c r="C23" s="9" t="inlineStr">
        <is>
          <t>§2.3</t>
        </is>
      </c>
      <c r="D23" s="15" t="inlineStr">
        <is>
          <t>Customers: browse without sign-in; sign-in required for booking, ordering and inquiries</t>
        </is>
      </c>
      <c r="E23" s="9" t="inlineStr">
        <is>
          <t>Access</t>
        </is>
      </c>
      <c r="F23" s="15" t="inlineStr">
        <is>
          <t>S-02, S-04, S-05, S-07, CT-01, IQ-01</t>
        </is>
      </c>
      <c r="G23" s="15" t="inlineStr">
        <is>
          <t>—</t>
        </is>
      </c>
      <c r="H23" s="9">
        <f>COUNTIF('Test Cases'!$J$2:$J$155,"*"&amp;A23&amp;"*")</f>
        <v/>
      </c>
      <c r="I23" s="9">
        <f>COUNTIFS('Test Cases'!$J$2:$J$155,"*"&amp;A23&amp;"*",'Test Cases'!$N$2:$N$155,"Pass")</f>
        <v/>
      </c>
      <c r="J23" s="9">
        <f>COUNTIFS('Test Cases'!$J$2:$J$155,"*"&amp;A23&amp;"*",'Test Cases'!$N$2:$N$155,"Fail")</f>
        <v/>
      </c>
      <c r="K23" s="9">
        <f>COUNTIFS('Test Cases'!$J$2:$J$155,"*"&amp;A23&amp;"*",'Test Cases'!$N$2:$N$155,"Blocked")</f>
        <v/>
      </c>
      <c r="L23" s="9">
        <f>COUNTIFS('Test Cases'!$J$2:$J$155,"*"&amp;A23&amp;"*",'Test Cases'!$N$2:$N$155,"N/A")</f>
        <v/>
      </c>
      <c r="M23" s="9">
        <f>COUNTIFS('Test Cases'!$J$2:$J$155,"*"&amp;A23&amp;"*",'Test Cases'!$N$2:$N$155,"Not Run")</f>
        <v/>
      </c>
      <c r="N23" s="10">
        <f>IF(H23=0,0,(H23-M23)/H23)</f>
        <v/>
      </c>
      <c r="O23" s="9">
        <f>IF(H23=0,"No coverage",IF(J23&gt;0,"Fail",IF(M23=H23,"Not run",IF(I23+L23=H23,"Pass","In progress"))))</f>
        <v/>
      </c>
    </row>
    <row r="24">
      <c r="A24" s="11" t="inlineStr">
        <is>
          <t>UR-RIDER</t>
        </is>
      </c>
      <c r="B24" s="15" t="inlineStr">
        <is>
          <t>User classes</t>
        </is>
      </c>
      <c r="C24" s="9" t="inlineStr">
        <is>
          <t>§2.3</t>
        </is>
      </c>
      <c r="D24" s="15" t="inlineStr">
        <is>
          <t>Delivery Rider: sees assigned orders only; may set status to Delivered</t>
        </is>
      </c>
      <c r="E24" s="9" t="inlineStr">
        <is>
          <t>Access</t>
        </is>
      </c>
      <c r="F24" s="15" t="inlineStr">
        <is>
          <t>S-17, S-18, AU-06, DS-09, DS-13, DB-13</t>
        </is>
      </c>
      <c r="G24" s="15" t="inlineStr">
        <is>
          <t>F-13, F-25</t>
        </is>
      </c>
      <c r="H24" s="9">
        <f>COUNTIF('Test Cases'!$J$2:$J$155,"*"&amp;A24&amp;"*")</f>
        <v/>
      </c>
      <c r="I24" s="9">
        <f>COUNTIFS('Test Cases'!$J$2:$J$155,"*"&amp;A24&amp;"*",'Test Cases'!$N$2:$N$155,"Pass")</f>
        <v/>
      </c>
      <c r="J24" s="9">
        <f>COUNTIFS('Test Cases'!$J$2:$J$155,"*"&amp;A24&amp;"*",'Test Cases'!$N$2:$N$155,"Fail")</f>
        <v/>
      </c>
      <c r="K24" s="9">
        <f>COUNTIFS('Test Cases'!$J$2:$J$155,"*"&amp;A24&amp;"*",'Test Cases'!$N$2:$N$155,"Blocked")</f>
        <v/>
      </c>
      <c r="L24" s="9">
        <f>COUNTIFS('Test Cases'!$J$2:$J$155,"*"&amp;A24&amp;"*",'Test Cases'!$N$2:$N$155,"N/A")</f>
        <v/>
      </c>
      <c r="M24" s="9">
        <f>COUNTIFS('Test Cases'!$J$2:$J$155,"*"&amp;A24&amp;"*",'Test Cases'!$N$2:$N$155,"Not Run")</f>
        <v/>
      </c>
      <c r="N24" s="10">
        <f>IF(H24=0,0,(H24-M24)/H24)</f>
        <v/>
      </c>
      <c r="O24" s="9">
        <f>IF(H24=0,"No coverage",IF(J24&gt;0,"Fail",IF(M24=H24,"Not run",IF(I24+L24=H24,"Pass","In progress"))))</f>
        <v/>
      </c>
    </row>
    <row r="25">
      <c r="A25" s="11" t="inlineStr">
        <is>
          <t>UR-ADMIN</t>
        </is>
      </c>
      <c r="B25" s="15" t="inlineStr">
        <is>
          <t>User classes</t>
        </is>
      </c>
      <c r="C25" s="9" t="inlineStr">
        <is>
          <t>§2.3</t>
        </is>
      </c>
      <c r="D25" s="15" t="inlineStr">
        <is>
          <t>System Administrator: full administrative and system access</t>
        </is>
      </c>
      <c r="E25" s="9" t="inlineStr">
        <is>
          <t>Access</t>
        </is>
      </c>
      <c r="F25" s="15" t="inlineStr">
        <is>
          <t>DB-14</t>
        </is>
      </c>
      <c r="G25" s="15" t="inlineStr">
        <is>
          <t>F-17</t>
        </is>
      </c>
      <c r="H25" s="9">
        <f>COUNTIF('Test Cases'!$J$2:$J$155,"*"&amp;A25&amp;"*")</f>
        <v/>
      </c>
      <c r="I25" s="9">
        <f>COUNTIFS('Test Cases'!$J$2:$J$155,"*"&amp;A25&amp;"*",'Test Cases'!$N$2:$N$155,"Pass")</f>
        <v/>
      </c>
      <c r="J25" s="9">
        <f>COUNTIFS('Test Cases'!$J$2:$J$155,"*"&amp;A25&amp;"*",'Test Cases'!$N$2:$N$155,"Fail")</f>
        <v/>
      </c>
      <c r="K25" s="9">
        <f>COUNTIFS('Test Cases'!$J$2:$J$155,"*"&amp;A25&amp;"*",'Test Cases'!$N$2:$N$155,"Blocked")</f>
        <v/>
      </c>
      <c r="L25" s="9">
        <f>COUNTIFS('Test Cases'!$J$2:$J$155,"*"&amp;A25&amp;"*",'Test Cases'!$N$2:$N$155,"N/A")</f>
        <v/>
      </c>
      <c r="M25" s="9">
        <f>COUNTIFS('Test Cases'!$J$2:$J$155,"*"&amp;A25&amp;"*",'Test Cases'!$N$2:$N$155,"Not Run")</f>
        <v/>
      </c>
      <c r="N25" s="10">
        <f>IF(H25=0,0,(H25-M25)/H25)</f>
        <v/>
      </c>
      <c r="O25" s="9">
        <f>IF(H25=0,"No coverage",IF(J25&gt;0,"Fail",IF(M25=H25,"Not run",IF(I25+L25=H25,"Pass","In progress"))))</f>
        <v/>
      </c>
    </row>
    <row r="26">
      <c r="A26" s="11" t="inlineStr">
        <is>
          <t>BR-01</t>
        </is>
      </c>
      <c r="B26" s="15" t="inlineStr">
        <is>
          <t>Business rules</t>
        </is>
      </c>
      <c r="C26" s="9" t="inlineStr">
        <is>
          <t>§5.5</t>
        </is>
      </c>
      <c r="D26" s="15" t="inlineStr">
        <is>
          <t>Reservation Lead Time: book at least 2 days before the date</t>
        </is>
      </c>
      <c r="E26" s="9" t="inlineStr">
        <is>
          <t>Rule</t>
        </is>
      </c>
      <c r="F26" s="15" t="inlineStr">
        <is>
          <t>S-01, S-07, S-09, CT-03, FR-07, DB-10</t>
        </is>
      </c>
      <c r="G26" s="15" t="inlineStr">
        <is>
          <t>F-16</t>
        </is>
      </c>
      <c r="H26" s="9">
        <f>COUNTIF('Test Cases'!$J$2:$J$155,"*"&amp;A26&amp;"*")</f>
        <v/>
      </c>
      <c r="I26" s="9">
        <f>COUNTIFS('Test Cases'!$J$2:$J$155,"*"&amp;A26&amp;"*",'Test Cases'!$N$2:$N$155,"Pass")</f>
        <v/>
      </c>
      <c r="J26" s="9">
        <f>COUNTIFS('Test Cases'!$J$2:$J$155,"*"&amp;A26&amp;"*",'Test Cases'!$N$2:$N$155,"Fail")</f>
        <v/>
      </c>
      <c r="K26" s="9">
        <f>COUNTIFS('Test Cases'!$J$2:$J$155,"*"&amp;A26&amp;"*",'Test Cases'!$N$2:$N$155,"Blocked")</f>
        <v/>
      </c>
      <c r="L26" s="9">
        <f>COUNTIFS('Test Cases'!$J$2:$J$155,"*"&amp;A26&amp;"*",'Test Cases'!$N$2:$N$155,"N/A")</f>
        <v/>
      </c>
      <c r="M26" s="9">
        <f>COUNTIFS('Test Cases'!$J$2:$J$155,"*"&amp;A26&amp;"*",'Test Cases'!$N$2:$N$155,"Not Run")</f>
        <v/>
      </c>
      <c r="N26" s="10">
        <f>IF(H26=0,0,(H26-M26)/H26)</f>
        <v/>
      </c>
      <c r="O26" s="9">
        <f>IF(H26=0,"No coverage",IF(J26&gt;0,"Fail",IF(M26=H26,"Not run",IF(I26+L26=H26,"Pass","In progress"))))</f>
        <v/>
      </c>
    </row>
    <row r="27">
      <c r="A27" s="11" t="inlineStr">
        <is>
          <t>BR-02</t>
        </is>
      </c>
      <c r="B27" s="15" t="inlineStr">
        <is>
          <t>Business rules</t>
        </is>
      </c>
      <c r="C27" s="9" t="inlineStr">
        <is>
          <t>§5.5</t>
        </is>
      </c>
      <c r="D27" s="15" t="inlineStr">
        <is>
          <t>Party Size Limits: accept parties of 10 to 50 guests only</t>
        </is>
      </c>
      <c r="E27" s="9" t="inlineStr">
        <is>
          <t>Rule</t>
        </is>
      </c>
      <c r="F27" s="15" t="inlineStr">
        <is>
          <t>S-09, FR-02, FR-03, FR-04</t>
        </is>
      </c>
      <c r="G27" s="15" t="inlineStr">
        <is>
          <t>F-03</t>
        </is>
      </c>
      <c r="H27" s="9">
        <f>COUNTIF('Test Cases'!$J$2:$J$155,"*"&amp;A27&amp;"*")</f>
        <v/>
      </c>
      <c r="I27" s="9">
        <f>COUNTIFS('Test Cases'!$J$2:$J$155,"*"&amp;A27&amp;"*",'Test Cases'!$N$2:$N$155,"Pass")</f>
        <v/>
      </c>
      <c r="J27" s="9">
        <f>COUNTIFS('Test Cases'!$J$2:$J$155,"*"&amp;A27&amp;"*",'Test Cases'!$N$2:$N$155,"Fail")</f>
        <v/>
      </c>
      <c r="K27" s="9">
        <f>COUNTIFS('Test Cases'!$J$2:$J$155,"*"&amp;A27&amp;"*",'Test Cases'!$N$2:$N$155,"Blocked")</f>
        <v/>
      </c>
      <c r="L27" s="9">
        <f>COUNTIFS('Test Cases'!$J$2:$J$155,"*"&amp;A27&amp;"*",'Test Cases'!$N$2:$N$155,"N/A")</f>
        <v/>
      </c>
      <c r="M27" s="9">
        <f>COUNTIFS('Test Cases'!$J$2:$J$155,"*"&amp;A27&amp;"*",'Test Cases'!$N$2:$N$155,"Not Run")</f>
        <v/>
      </c>
      <c r="N27" s="10">
        <f>IF(H27=0,0,(H27-M27)/H27)</f>
        <v/>
      </c>
      <c r="O27" s="9">
        <f>IF(H27=0,"No coverage",IF(J27&gt;0,"Fail",IF(M27=H27,"Not run",IF(I27+L27=H27,"Pass","In progress"))))</f>
        <v/>
      </c>
    </row>
    <row r="28">
      <c r="A28" s="11" t="inlineStr">
        <is>
          <t>BR-03</t>
        </is>
      </c>
      <c r="B28" s="15" t="inlineStr">
        <is>
          <t>Business rules</t>
        </is>
      </c>
      <c r="C28" s="9" t="inlineStr">
        <is>
          <t>§5.5</t>
        </is>
      </c>
      <c r="D28" s="15" t="inlineStr">
        <is>
          <t>Menu and Pricing Authority: only Restaurant Manager and Administrator change menu/prices</t>
        </is>
      </c>
      <c r="E28" s="9" t="inlineStr">
        <is>
          <t>Rule</t>
        </is>
      </c>
      <c r="F28" s="15" t="inlineStr">
        <is>
          <t>DS-08</t>
        </is>
      </c>
      <c r="G28" s="15" t="inlineStr">
        <is>
          <t>F-08</t>
        </is>
      </c>
      <c r="H28" s="9">
        <f>COUNTIF('Test Cases'!$J$2:$J$155,"*"&amp;A28&amp;"*")</f>
        <v/>
      </c>
      <c r="I28" s="9">
        <f>COUNTIFS('Test Cases'!$J$2:$J$155,"*"&amp;A28&amp;"*",'Test Cases'!$N$2:$N$155,"Pass")</f>
        <v/>
      </c>
      <c r="J28" s="9">
        <f>COUNTIFS('Test Cases'!$J$2:$J$155,"*"&amp;A28&amp;"*",'Test Cases'!$N$2:$N$155,"Fail")</f>
        <v/>
      </c>
      <c r="K28" s="9">
        <f>COUNTIFS('Test Cases'!$J$2:$J$155,"*"&amp;A28&amp;"*",'Test Cases'!$N$2:$N$155,"Blocked")</f>
        <v/>
      </c>
      <c r="L28" s="9">
        <f>COUNTIFS('Test Cases'!$J$2:$J$155,"*"&amp;A28&amp;"*",'Test Cases'!$N$2:$N$155,"N/A")</f>
        <v/>
      </c>
      <c r="M28" s="9">
        <f>COUNTIFS('Test Cases'!$J$2:$J$155,"*"&amp;A28&amp;"*",'Test Cases'!$N$2:$N$155,"Not Run")</f>
        <v/>
      </c>
      <c r="N28" s="10">
        <f>IF(H28=0,0,(H28-M28)/H28)</f>
        <v/>
      </c>
      <c r="O28" s="9">
        <f>IF(H28=0,"No coverage",IF(J28&gt;0,"Fail",IF(M28=H28,"Not run",IF(I28+L28=H28,"Pass","In progress"))))</f>
        <v/>
      </c>
    </row>
    <row r="29">
      <c r="A29" s="11" t="inlineStr">
        <is>
          <t>BR-04</t>
        </is>
      </c>
      <c r="B29" s="15" t="inlineStr">
        <is>
          <t>Business rules</t>
        </is>
      </c>
      <c r="C29" s="9" t="inlineStr">
        <is>
          <t>§5.5</t>
        </is>
      </c>
      <c r="D29" s="15" t="inlineStr">
        <is>
          <t>Cancellation Policy: self-cancel by email link up to 2 days before; staff flag late cancels/no-shows</t>
        </is>
      </c>
      <c r="E29" s="9" t="inlineStr">
        <is>
          <t>Rule</t>
        </is>
      </c>
      <c r="F29" s="15" t="inlineStr">
        <is>
          <t>FR-12, FR-16</t>
        </is>
      </c>
      <c r="G29" s="15" t="inlineStr">
        <is>
          <t>F-06, F-29</t>
        </is>
      </c>
      <c r="H29" s="9">
        <f>COUNTIF('Test Cases'!$J$2:$J$155,"*"&amp;A29&amp;"*")</f>
        <v/>
      </c>
      <c r="I29" s="9">
        <f>COUNTIFS('Test Cases'!$J$2:$J$155,"*"&amp;A29&amp;"*",'Test Cases'!$N$2:$N$155,"Pass")</f>
        <v/>
      </c>
      <c r="J29" s="9">
        <f>COUNTIFS('Test Cases'!$J$2:$J$155,"*"&amp;A29&amp;"*",'Test Cases'!$N$2:$N$155,"Fail")</f>
        <v/>
      </c>
      <c r="K29" s="9">
        <f>COUNTIFS('Test Cases'!$J$2:$J$155,"*"&amp;A29&amp;"*",'Test Cases'!$N$2:$N$155,"Blocked")</f>
        <v/>
      </c>
      <c r="L29" s="9">
        <f>COUNTIFS('Test Cases'!$J$2:$J$155,"*"&amp;A29&amp;"*",'Test Cases'!$N$2:$N$155,"N/A")</f>
        <v/>
      </c>
      <c r="M29" s="9">
        <f>COUNTIFS('Test Cases'!$J$2:$J$155,"*"&amp;A29&amp;"*",'Test Cases'!$N$2:$N$155,"Not Run")</f>
        <v/>
      </c>
      <c r="N29" s="10">
        <f>IF(H29=0,0,(H29-M29)/H29)</f>
        <v/>
      </c>
      <c r="O29" s="9">
        <f>IF(H29=0,"No coverage",IF(J29&gt;0,"Fail",IF(M29=H29,"Not run",IF(I29+L29=H29,"Pass","In progress"))))</f>
        <v/>
      </c>
    </row>
    <row r="30">
      <c r="A30" s="11" t="inlineStr">
        <is>
          <t>NFR-PERF-01</t>
        </is>
      </c>
      <c r="B30" s="15" t="inlineStr">
        <is>
          <t>Non-functional</t>
        </is>
      </c>
      <c r="C30" s="9" t="inlineStr">
        <is>
          <t>§5.1</t>
        </is>
      </c>
      <c r="D30" s="15" t="inlineStr">
        <is>
          <t>Website loads within 5 s on 4G and broadband</t>
        </is>
      </c>
      <c r="E30" s="9" t="inlineStr">
        <is>
          <t>MUST</t>
        </is>
      </c>
      <c r="F30" s="15" t="inlineStr">
        <is>
          <t>NF-01</t>
        </is>
      </c>
      <c r="G30" s="15" t="inlineStr">
        <is>
          <t>—</t>
        </is>
      </c>
      <c r="H30" s="9">
        <f>COUNTIF('Test Cases'!$J$2:$J$155,"*"&amp;A30&amp;"*")</f>
        <v/>
      </c>
      <c r="I30" s="9">
        <f>COUNTIFS('Test Cases'!$J$2:$J$155,"*"&amp;A30&amp;"*",'Test Cases'!$N$2:$N$155,"Pass")</f>
        <v/>
      </c>
      <c r="J30" s="9">
        <f>COUNTIFS('Test Cases'!$J$2:$J$155,"*"&amp;A30&amp;"*",'Test Cases'!$N$2:$N$155,"Fail")</f>
        <v/>
      </c>
      <c r="K30" s="9">
        <f>COUNTIFS('Test Cases'!$J$2:$J$155,"*"&amp;A30&amp;"*",'Test Cases'!$N$2:$N$155,"Blocked")</f>
        <v/>
      </c>
      <c r="L30" s="9">
        <f>COUNTIFS('Test Cases'!$J$2:$J$155,"*"&amp;A30&amp;"*",'Test Cases'!$N$2:$N$155,"N/A")</f>
        <v/>
      </c>
      <c r="M30" s="9">
        <f>COUNTIFS('Test Cases'!$J$2:$J$155,"*"&amp;A30&amp;"*",'Test Cases'!$N$2:$N$155,"Not Run")</f>
        <v/>
      </c>
      <c r="N30" s="10">
        <f>IF(H30=0,0,(H30-M30)/H30)</f>
        <v/>
      </c>
      <c r="O30" s="9">
        <f>IF(H30=0,"No coverage",IF(J30&gt;0,"Fail",IF(M30=H30,"Not run",IF(I30+L30=H30,"Pass","In progress"))))</f>
        <v/>
      </c>
    </row>
    <row r="31">
      <c r="A31" s="11" t="inlineStr">
        <is>
          <t>NFR-PERF-02</t>
        </is>
      </c>
      <c r="B31" s="15" t="inlineStr">
        <is>
          <t>Non-functional</t>
        </is>
      </c>
      <c r="C31" s="9" t="inlineStr">
        <is>
          <t>§5.1</t>
        </is>
      </c>
      <c r="D31" s="15" t="inlineStr">
        <is>
          <t>Availability searches and reservation confirmations respond in under 5 s</t>
        </is>
      </c>
      <c r="E31" s="9" t="inlineStr">
        <is>
          <t>MUST</t>
        </is>
      </c>
      <c r="F31" s="15" t="inlineStr">
        <is>
          <t>NF-02</t>
        </is>
      </c>
      <c r="G31" s="15" t="inlineStr">
        <is>
          <t>—</t>
        </is>
      </c>
      <c r="H31" s="9">
        <f>COUNTIF('Test Cases'!$J$2:$J$155,"*"&amp;A31&amp;"*")</f>
        <v/>
      </c>
      <c r="I31" s="9">
        <f>COUNTIFS('Test Cases'!$J$2:$J$155,"*"&amp;A31&amp;"*",'Test Cases'!$N$2:$N$155,"Pass")</f>
        <v/>
      </c>
      <c r="J31" s="9">
        <f>COUNTIFS('Test Cases'!$J$2:$J$155,"*"&amp;A31&amp;"*",'Test Cases'!$N$2:$N$155,"Fail")</f>
        <v/>
      </c>
      <c r="K31" s="9">
        <f>COUNTIFS('Test Cases'!$J$2:$J$155,"*"&amp;A31&amp;"*",'Test Cases'!$N$2:$N$155,"Blocked")</f>
        <v/>
      </c>
      <c r="L31" s="9">
        <f>COUNTIFS('Test Cases'!$J$2:$J$155,"*"&amp;A31&amp;"*",'Test Cases'!$N$2:$N$155,"N/A")</f>
        <v/>
      </c>
      <c r="M31" s="9">
        <f>COUNTIFS('Test Cases'!$J$2:$J$155,"*"&amp;A31&amp;"*",'Test Cases'!$N$2:$N$155,"Not Run")</f>
        <v/>
      </c>
      <c r="N31" s="10">
        <f>IF(H31=0,0,(H31-M31)/H31)</f>
        <v/>
      </c>
      <c r="O31" s="9">
        <f>IF(H31=0,"No coverage",IF(J31&gt;0,"Fail",IF(M31=H31,"Not run",IF(I31+L31=H31,"Pass","In progress"))))</f>
        <v/>
      </c>
    </row>
    <row r="32">
      <c r="A32" s="11" t="inlineStr">
        <is>
          <t>NFR-SAFE-01</t>
        </is>
      </c>
      <c r="B32" s="15" t="inlineStr">
        <is>
          <t>Non-functional</t>
        </is>
      </c>
      <c r="C32" s="9" t="inlineStr">
        <is>
          <t>§5.2</t>
        </is>
      </c>
      <c r="D32" s="15" t="inlineStr">
        <is>
          <t>All text inputs sanitised against injection</t>
        </is>
      </c>
      <c r="E32" s="9" t="inlineStr">
        <is>
          <t>MUST</t>
        </is>
      </c>
      <c r="F32" s="15" t="inlineStr">
        <is>
          <t>CT-11</t>
        </is>
      </c>
      <c r="G32" s="15" t="inlineStr">
        <is>
          <t>—</t>
        </is>
      </c>
      <c r="H32" s="9">
        <f>COUNTIF('Test Cases'!$J$2:$J$155,"*"&amp;A32&amp;"*")</f>
        <v/>
      </c>
      <c r="I32" s="9">
        <f>COUNTIFS('Test Cases'!$J$2:$J$155,"*"&amp;A32&amp;"*",'Test Cases'!$N$2:$N$155,"Pass")</f>
        <v/>
      </c>
      <c r="J32" s="9">
        <f>COUNTIFS('Test Cases'!$J$2:$J$155,"*"&amp;A32&amp;"*",'Test Cases'!$N$2:$N$155,"Fail")</f>
        <v/>
      </c>
      <c r="K32" s="9">
        <f>COUNTIFS('Test Cases'!$J$2:$J$155,"*"&amp;A32&amp;"*",'Test Cases'!$N$2:$N$155,"Blocked")</f>
        <v/>
      </c>
      <c r="L32" s="9">
        <f>COUNTIFS('Test Cases'!$J$2:$J$155,"*"&amp;A32&amp;"*",'Test Cases'!$N$2:$N$155,"N/A")</f>
        <v/>
      </c>
      <c r="M32" s="9">
        <f>COUNTIFS('Test Cases'!$J$2:$J$155,"*"&amp;A32&amp;"*",'Test Cases'!$N$2:$N$155,"Not Run")</f>
        <v/>
      </c>
      <c r="N32" s="10">
        <f>IF(H32=0,0,(H32-M32)/H32)</f>
        <v/>
      </c>
      <c r="O32" s="9">
        <f>IF(H32=0,"No coverage",IF(J32&gt;0,"Fail",IF(M32=H32,"Not run",IF(I32+L32=H32,"Pass","In progress"))))</f>
        <v/>
      </c>
    </row>
    <row r="33">
      <c r="A33" s="11" t="inlineStr">
        <is>
          <t>NFR-SEC-01</t>
        </is>
      </c>
      <c r="B33" s="15" t="inlineStr">
        <is>
          <t>Non-functional</t>
        </is>
      </c>
      <c r="C33" s="9" t="inlineStr">
        <is>
          <t>§5.3</t>
        </is>
      </c>
      <c r="D33" s="15" t="inlineStr">
        <is>
          <t>RA 10173 compliance; explicit consent checkbox on the booking form</t>
        </is>
      </c>
      <c r="E33" s="9" t="inlineStr">
        <is>
          <t>MUST</t>
        </is>
      </c>
      <c r="F33" s="15" t="inlineStr">
        <is>
          <t>FR-14</t>
        </is>
      </c>
      <c r="G33" s="15" t="inlineStr">
        <is>
          <t>F-15</t>
        </is>
      </c>
      <c r="H33" s="9">
        <f>COUNTIF('Test Cases'!$J$2:$J$155,"*"&amp;A33&amp;"*")</f>
        <v/>
      </c>
      <c r="I33" s="9">
        <f>COUNTIFS('Test Cases'!$J$2:$J$155,"*"&amp;A33&amp;"*",'Test Cases'!$N$2:$N$155,"Pass")</f>
        <v/>
      </c>
      <c r="J33" s="9">
        <f>COUNTIFS('Test Cases'!$J$2:$J$155,"*"&amp;A33&amp;"*",'Test Cases'!$N$2:$N$155,"Fail")</f>
        <v/>
      </c>
      <c r="K33" s="9">
        <f>COUNTIFS('Test Cases'!$J$2:$J$155,"*"&amp;A33&amp;"*",'Test Cases'!$N$2:$N$155,"Blocked")</f>
        <v/>
      </c>
      <c r="L33" s="9">
        <f>COUNTIFS('Test Cases'!$J$2:$J$155,"*"&amp;A33&amp;"*",'Test Cases'!$N$2:$N$155,"N/A")</f>
        <v/>
      </c>
      <c r="M33" s="9">
        <f>COUNTIFS('Test Cases'!$J$2:$J$155,"*"&amp;A33&amp;"*",'Test Cases'!$N$2:$N$155,"Not Run")</f>
        <v/>
      </c>
      <c r="N33" s="10">
        <f>IF(H33=0,0,(H33-M33)/H33)</f>
        <v/>
      </c>
      <c r="O33" s="9">
        <f>IF(H33=0,"No coverage",IF(J33&gt;0,"Fail",IF(M33=H33,"Not run",IF(I33+L33=H33,"Pass","In progress"))))</f>
        <v/>
      </c>
    </row>
    <row r="34">
      <c r="A34" s="11" t="inlineStr">
        <is>
          <t>NFR-SEC-02</t>
        </is>
      </c>
      <c r="B34" s="15" t="inlineStr">
        <is>
          <t>Non-functional</t>
        </is>
      </c>
      <c r="C34" s="9" t="inlineStr">
        <is>
          <t>§5.3</t>
        </is>
      </c>
      <c r="D34" s="15" t="inlineStr">
        <is>
          <t>RBAC; customers and riders verify by email; staff need specific accounts</t>
        </is>
      </c>
      <c r="E34" s="9" t="inlineStr">
        <is>
          <t>MUST</t>
        </is>
      </c>
      <c r="F34" s="15" t="inlineStr">
        <is>
          <t>AU-01, AU-02, AU-03, AU-11, PR-01, PR-04, DB-01, DB-02, DB-03, DB-04, DB-05, DB-06, DB-07, DB-15, DB-16</t>
        </is>
      </c>
      <c r="G34" s="15" t="inlineStr">
        <is>
          <t>F-12, F-18</t>
        </is>
      </c>
      <c r="H34" s="9">
        <f>COUNTIF('Test Cases'!$J$2:$J$155,"*"&amp;A34&amp;"*")</f>
        <v/>
      </c>
      <c r="I34" s="9">
        <f>COUNTIFS('Test Cases'!$J$2:$J$155,"*"&amp;A34&amp;"*",'Test Cases'!$N$2:$N$155,"Pass")</f>
        <v/>
      </c>
      <c r="J34" s="9">
        <f>COUNTIFS('Test Cases'!$J$2:$J$155,"*"&amp;A34&amp;"*",'Test Cases'!$N$2:$N$155,"Fail")</f>
        <v/>
      </c>
      <c r="K34" s="9">
        <f>COUNTIFS('Test Cases'!$J$2:$J$155,"*"&amp;A34&amp;"*",'Test Cases'!$N$2:$N$155,"Blocked")</f>
        <v/>
      </c>
      <c r="L34" s="9">
        <f>COUNTIFS('Test Cases'!$J$2:$J$155,"*"&amp;A34&amp;"*",'Test Cases'!$N$2:$N$155,"N/A")</f>
        <v/>
      </c>
      <c r="M34" s="9">
        <f>COUNTIFS('Test Cases'!$J$2:$J$155,"*"&amp;A34&amp;"*",'Test Cases'!$N$2:$N$155,"Not Run")</f>
        <v/>
      </c>
      <c r="N34" s="10">
        <f>IF(H34=0,0,(H34-M34)/H34)</f>
        <v/>
      </c>
      <c r="O34" s="9">
        <f>IF(H34=0,"No coverage",IF(J34&gt;0,"Fail",IF(M34=H34,"Not run",IF(I34+L34=H34,"Pass","In progress"))))</f>
        <v/>
      </c>
    </row>
    <row r="35">
      <c r="A35" s="11" t="inlineStr">
        <is>
          <t>NFR-USE-01</t>
        </is>
      </c>
      <c r="B35" s="15" t="inlineStr">
        <is>
          <t>Non-functional</t>
        </is>
      </c>
      <c r="C35" s="9" t="inlineStr">
        <is>
          <t>§5.4</t>
        </is>
      </c>
      <c r="D35" s="15" t="inlineStr">
        <is>
          <t>Mobile-first; reservation completable in ≤ 8 steps</t>
        </is>
      </c>
      <c r="E35" s="9" t="inlineStr">
        <is>
          <t>MUST</t>
        </is>
      </c>
      <c r="F35" s="15" t="inlineStr">
        <is>
          <t>FR-01, FR-05, PR-03, NF-03</t>
        </is>
      </c>
      <c r="G35" s="15" t="inlineStr">
        <is>
          <t>—</t>
        </is>
      </c>
      <c r="H35" s="9">
        <f>COUNTIF('Test Cases'!$J$2:$J$155,"*"&amp;A35&amp;"*")</f>
        <v/>
      </c>
      <c r="I35" s="9">
        <f>COUNTIFS('Test Cases'!$J$2:$J$155,"*"&amp;A35&amp;"*",'Test Cases'!$N$2:$N$155,"Pass")</f>
        <v/>
      </c>
      <c r="J35" s="9">
        <f>COUNTIFS('Test Cases'!$J$2:$J$155,"*"&amp;A35&amp;"*",'Test Cases'!$N$2:$N$155,"Fail")</f>
        <v/>
      </c>
      <c r="K35" s="9">
        <f>COUNTIFS('Test Cases'!$J$2:$J$155,"*"&amp;A35&amp;"*",'Test Cases'!$N$2:$N$155,"Blocked")</f>
        <v/>
      </c>
      <c r="L35" s="9">
        <f>COUNTIFS('Test Cases'!$J$2:$J$155,"*"&amp;A35&amp;"*",'Test Cases'!$N$2:$N$155,"N/A")</f>
        <v/>
      </c>
      <c r="M35" s="9">
        <f>COUNTIFS('Test Cases'!$J$2:$J$155,"*"&amp;A35&amp;"*",'Test Cases'!$N$2:$N$155,"Not Run")</f>
        <v/>
      </c>
      <c r="N35" s="10">
        <f>IF(H35=0,0,(H35-M35)/H35)</f>
        <v/>
      </c>
      <c r="O35" s="9">
        <f>IF(H35=0,"No coverage",IF(J35&gt;0,"Fail",IF(M35=H35,"Not run",IF(I35+L35=H35,"Pass","In progress"))))</f>
        <v/>
      </c>
    </row>
    <row r="36">
      <c r="A36" s="11" t="inlineStr">
        <is>
          <t>IF-UI-01</t>
        </is>
      </c>
      <c r="B36" s="15" t="inlineStr">
        <is>
          <t>Interfaces</t>
        </is>
      </c>
      <c r="C36" s="9" t="inlineStr">
        <is>
          <t>§3.1</t>
        </is>
      </c>
      <c r="D36" s="15" t="inlineStr">
        <is>
          <t>Responsive UI (375 px to 4K) and real-time alert badges on the dashboard</t>
        </is>
      </c>
      <c r="E36" s="9" t="inlineStr">
        <is>
          <t>Interface</t>
        </is>
      </c>
      <c r="F36" s="15" t="inlineStr">
        <is>
          <t>DS-14, IQ-05, NF-03</t>
        </is>
      </c>
      <c r="G36" s="15" t="inlineStr">
        <is>
          <t>F-26, F-27</t>
        </is>
      </c>
      <c r="H36" s="9">
        <f>COUNTIF('Test Cases'!$J$2:$J$155,"*"&amp;A36&amp;"*")</f>
        <v/>
      </c>
      <c r="I36" s="9">
        <f>COUNTIFS('Test Cases'!$J$2:$J$155,"*"&amp;A36&amp;"*",'Test Cases'!$N$2:$N$155,"Pass")</f>
        <v/>
      </c>
      <c r="J36" s="9">
        <f>COUNTIFS('Test Cases'!$J$2:$J$155,"*"&amp;A36&amp;"*",'Test Cases'!$N$2:$N$155,"Fail")</f>
        <v/>
      </c>
      <c r="K36" s="9">
        <f>COUNTIFS('Test Cases'!$J$2:$J$155,"*"&amp;A36&amp;"*",'Test Cases'!$N$2:$N$155,"Blocked")</f>
        <v/>
      </c>
      <c r="L36" s="9">
        <f>COUNTIFS('Test Cases'!$J$2:$J$155,"*"&amp;A36&amp;"*",'Test Cases'!$N$2:$N$155,"N/A")</f>
        <v/>
      </c>
      <c r="M36" s="9">
        <f>COUNTIFS('Test Cases'!$J$2:$J$155,"*"&amp;A36&amp;"*",'Test Cases'!$N$2:$N$155,"Not Run")</f>
        <v/>
      </c>
      <c r="N36" s="10">
        <f>IF(H36=0,0,(H36-M36)/H36)</f>
        <v/>
      </c>
      <c r="O36" s="9">
        <f>IF(H36=0,"No coverage",IF(J36&gt;0,"Fail",IF(M36=H36,"Not run",IF(I36+L36=H36,"Pass","In progress"))))</f>
        <v/>
      </c>
    </row>
    <row r="37">
      <c r="A37" s="11" t="inlineStr">
        <is>
          <t>IF-SW-01</t>
        </is>
      </c>
      <c r="B37" s="15" t="inlineStr">
        <is>
          <t>Interfaces</t>
        </is>
      </c>
      <c r="C37" s="9" t="inlineStr">
        <is>
          <t>§3.3</t>
        </is>
      </c>
      <c r="D37" s="15" t="inlineStr">
        <is>
          <t>Transactional email (e.g. Resend) for booking confirmations and receipts</t>
        </is>
      </c>
      <c r="E37" s="9" t="inlineStr">
        <is>
          <t>Interface</t>
        </is>
      </c>
      <c r="F37" s="15" t="inlineStr">
        <is>
          <t>FR-12</t>
        </is>
      </c>
      <c r="G37" s="15" t="inlineStr">
        <is>
          <t>F-06, F-21</t>
        </is>
      </c>
      <c r="H37" s="9">
        <f>COUNTIF('Test Cases'!$J$2:$J$155,"*"&amp;A37&amp;"*")</f>
        <v/>
      </c>
      <c r="I37" s="9">
        <f>COUNTIFS('Test Cases'!$J$2:$J$155,"*"&amp;A37&amp;"*",'Test Cases'!$N$2:$N$155,"Pass")</f>
        <v/>
      </c>
      <c r="J37" s="9">
        <f>COUNTIFS('Test Cases'!$J$2:$J$155,"*"&amp;A37&amp;"*",'Test Cases'!$N$2:$N$155,"Fail")</f>
        <v/>
      </c>
      <c r="K37" s="9">
        <f>COUNTIFS('Test Cases'!$J$2:$J$155,"*"&amp;A37&amp;"*",'Test Cases'!$N$2:$N$155,"Blocked")</f>
        <v/>
      </c>
      <c r="L37" s="9">
        <f>COUNTIFS('Test Cases'!$J$2:$J$155,"*"&amp;A37&amp;"*",'Test Cases'!$N$2:$N$155,"N/A")</f>
        <v/>
      </c>
      <c r="M37" s="9">
        <f>COUNTIFS('Test Cases'!$J$2:$J$155,"*"&amp;A37&amp;"*",'Test Cases'!$N$2:$N$155,"Not Run")</f>
        <v/>
      </c>
      <c r="N37" s="10">
        <f>IF(H37=0,0,(H37-M37)/H37)</f>
        <v/>
      </c>
      <c r="O37" s="9">
        <f>IF(H37=0,"No coverage",IF(J37&gt;0,"Fail",IF(M37=H37,"Not run",IF(I37+L37=H37,"Pass","In progress"))))</f>
        <v/>
      </c>
    </row>
    <row r="38">
      <c r="A38" s="11" t="inlineStr">
        <is>
          <t>IF-COM-01</t>
        </is>
      </c>
      <c r="B38" s="15" t="inlineStr">
        <is>
          <t>Interfaces</t>
        </is>
      </c>
      <c r="C38" s="9" t="inlineStr">
        <is>
          <t>§3.4</t>
        </is>
      </c>
      <c r="D38" s="15" t="inlineStr">
        <is>
          <t>WebSockets/SSE push for real-time dashboard notifications</t>
        </is>
      </c>
      <c r="E38" s="9" t="inlineStr">
        <is>
          <t>Interface</t>
        </is>
      </c>
      <c r="F38" s="15" t="inlineStr">
        <is>
          <t>IQ-05, OP-01</t>
        </is>
      </c>
      <c r="G38" s="15" t="inlineStr">
        <is>
          <t>F-27</t>
        </is>
      </c>
      <c r="H38" s="9">
        <f>COUNTIF('Test Cases'!$J$2:$J$155,"*"&amp;A38&amp;"*")</f>
        <v/>
      </c>
      <c r="I38" s="9">
        <f>COUNTIFS('Test Cases'!$J$2:$J$155,"*"&amp;A38&amp;"*",'Test Cases'!$N$2:$N$155,"Pass")</f>
        <v/>
      </c>
      <c r="J38" s="9">
        <f>COUNTIFS('Test Cases'!$J$2:$J$155,"*"&amp;A38&amp;"*",'Test Cases'!$N$2:$N$155,"Fail")</f>
        <v/>
      </c>
      <c r="K38" s="9">
        <f>COUNTIFS('Test Cases'!$J$2:$J$155,"*"&amp;A38&amp;"*",'Test Cases'!$N$2:$N$155,"Blocked")</f>
        <v/>
      </c>
      <c r="L38" s="9">
        <f>COUNTIFS('Test Cases'!$J$2:$J$155,"*"&amp;A38&amp;"*",'Test Cases'!$N$2:$N$155,"N/A")</f>
        <v/>
      </c>
      <c r="M38" s="9">
        <f>COUNTIFS('Test Cases'!$J$2:$J$155,"*"&amp;A38&amp;"*",'Test Cases'!$N$2:$N$155,"Not Run")</f>
        <v/>
      </c>
      <c r="N38" s="10">
        <f>IF(H38=0,0,(H38-M38)/H38)</f>
        <v/>
      </c>
      <c r="O38" s="9">
        <f>IF(H38=0,"No coverage",IF(J38&gt;0,"Fail",IF(M38=H38,"Not run",IF(I38+L38=H38,"Pass","In progress"))))</f>
        <v/>
      </c>
    </row>
    <row r="39">
      <c r="A39" s="11" t="inlineStr">
        <is>
          <t>CON-01</t>
        </is>
      </c>
      <c r="B39" s="15" t="inlineStr">
        <is>
          <t>Constraints</t>
        </is>
      </c>
      <c r="C39" s="9" t="inlineStr">
        <is>
          <t>§2.5</t>
        </is>
      </c>
      <c r="D39" s="15" t="inlineStr">
        <is>
          <t>Vendor credentials kept in Railway encrypted variables; Meta API dependency</t>
        </is>
      </c>
      <c r="E39" s="9" t="inlineStr">
        <is>
          <t>Constraint</t>
        </is>
      </c>
      <c r="F39" s="15" t="inlineStr">
        <is>
          <t>S-20, DB-15</t>
        </is>
      </c>
      <c r="G39" s="15" t="inlineStr">
        <is>
          <t>F-18</t>
        </is>
      </c>
      <c r="H39" s="9">
        <f>COUNTIF('Test Cases'!$J$2:$J$155,"*"&amp;A39&amp;"*")</f>
        <v/>
      </c>
      <c r="I39" s="9">
        <f>COUNTIFS('Test Cases'!$J$2:$J$155,"*"&amp;A39&amp;"*",'Test Cases'!$N$2:$N$155,"Pass")</f>
        <v/>
      </c>
      <c r="J39" s="9">
        <f>COUNTIFS('Test Cases'!$J$2:$J$155,"*"&amp;A39&amp;"*",'Test Cases'!$N$2:$N$155,"Fail")</f>
        <v/>
      </c>
      <c r="K39" s="9">
        <f>COUNTIFS('Test Cases'!$J$2:$J$155,"*"&amp;A39&amp;"*",'Test Cases'!$N$2:$N$155,"Blocked")</f>
        <v/>
      </c>
      <c r="L39" s="9">
        <f>COUNTIFS('Test Cases'!$J$2:$J$155,"*"&amp;A39&amp;"*",'Test Cases'!$N$2:$N$155,"N/A")</f>
        <v/>
      </c>
      <c r="M39" s="9">
        <f>COUNTIFS('Test Cases'!$J$2:$J$155,"*"&amp;A39&amp;"*",'Test Cases'!$N$2:$N$155,"Not Run")</f>
        <v/>
      </c>
      <c r="N39" s="10">
        <f>IF(H39=0,0,(H39-M39)/H39)</f>
        <v/>
      </c>
      <c r="O39" s="9">
        <f>IF(H39=0,"No coverage",IF(J39&gt;0,"Fail",IF(M39=H39,"Not run",IF(I39+L39=H39,"Pass","In progress"))))</f>
        <v/>
      </c>
    </row>
    <row r="40">
      <c r="A40" s="11" t="inlineStr">
        <is>
          <t>ARCH-01</t>
        </is>
      </c>
      <c r="B40" s="15" t="inlineStr">
        <is>
          <t>Architecture</t>
        </is>
      </c>
      <c r="C40" s="9" t="inlineStr">
        <is>
          <t>§2.1, §2.4</t>
        </is>
      </c>
      <c r="D40" s="15" t="inlineStr">
        <is>
          <t>Three-tier architecture: React + TypeScript, Python FastAPI backend, PostgreSQL (Supabase)</t>
        </is>
      </c>
      <c r="E40" s="9" t="inlineStr">
        <is>
          <t>Design</t>
        </is>
      </c>
      <c r="F40" s="15" t="inlineStr">
        <is>
          <t>DB-08</t>
        </is>
      </c>
      <c r="G40" s="15" t="inlineStr">
        <is>
          <t>F-31</t>
        </is>
      </c>
      <c r="H40" s="9">
        <f>COUNTIF('Test Cases'!$J$2:$J$155,"*"&amp;A40&amp;"*")</f>
        <v/>
      </c>
      <c r="I40" s="9">
        <f>COUNTIFS('Test Cases'!$J$2:$J$155,"*"&amp;A40&amp;"*",'Test Cases'!$N$2:$N$155,"Pass")</f>
        <v/>
      </c>
      <c r="J40" s="9">
        <f>COUNTIFS('Test Cases'!$J$2:$J$155,"*"&amp;A40&amp;"*",'Test Cases'!$N$2:$N$155,"Fail")</f>
        <v/>
      </c>
      <c r="K40" s="9">
        <f>COUNTIFS('Test Cases'!$J$2:$J$155,"*"&amp;A40&amp;"*",'Test Cases'!$N$2:$N$155,"Blocked")</f>
        <v/>
      </c>
      <c r="L40" s="9">
        <f>COUNTIFS('Test Cases'!$J$2:$J$155,"*"&amp;A40&amp;"*",'Test Cases'!$N$2:$N$155,"N/A")</f>
        <v/>
      </c>
      <c r="M40" s="9">
        <f>COUNTIFS('Test Cases'!$J$2:$J$155,"*"&amp;A40&amp;"*",'Test Cases'!$N$2:$N$155,"Not Run")</f>
        <v/>
      </c>
      <c r="N40" s="10">
        <f>IF(H40=0,0,(H40-M40)/H40)</f>
        <v/>
      </c>
      <c r="O40" s="9">
        <f>IF(H40=0,"No coverage",IF(J40&gt;0,"Fail",IF(M40=H40,"Not run",IF(I40+L40=H40,"Pass","In progress"))))</f>
        <v/>
      </c>
    </row>
    <row r="41">
      <c r="A41" s="11" t="inlineStr">
        <is>
          <t>BRIEF</t>
        </is>
      </c>
      <c r="B41" s="15" t="inlineStr">
        <is>
          <t>Not in SRS</t>
        </is>
      </c>
      <c r="C41" s="9" t="inlineStr">
        <is>
          <t>—</t>
        </is>
      </c>
      <c r="D41" s="15" t="inlineStr">
        <is>
          <t>Behaviour from the test brief or the app itself (no SRS requirement); traced for completeness</t>
        </is>
      </c>
      <c r="E41" s="9" t="inlineStr">
        <is>
          <t>—</t>
        </is>
      </c>
      <c r="F41" s="15" t="inlineStr">
        <is>
          <t>S-07, S-08, AU-04, AU-07, AU-08, CT-02, CT-04, CT-05, CT-06, CT-07, CT-08, CT-10, CT-12, FR-06, DO-05, DO-07, DO-12, DS-03, DS-04, DS-10, DS-11, DS-12, IQ-03, IQ-08, IB-02, IB-03, IB-07, MA-05, MA-07, MA-08, MA-09, PR-02, PR-05, OP-05, OP-06, DB-09</t>
        </is>
      </c>
      <c r="G41" s="15" t="inlineStr">
        <is>
          <t>F-11, F-19</t>
        </is>
      </c>
      <c r="H41" s="9">
        <f>COUNTIF('Test Cases'!$J$2:$J$155,"*"&amp;A41&amp;"*")</f>
        <v/>
      </c>
      <c r="I41" s="9">
        <f>COUNTIFS('Test Cases'!$J$2:$J$155,"*"&amp;A41&amp;"*",'Test Cases'!$N$2:$N$155,"Pass")</f>
        <v/>
      </c>
      <c r="J41" s="9">
        <f>COUNTIFS('Test Cases'!$J$2:$J$155,"*"&amp;A41&amp;"*",'Test Cases'!$N$2:$N$155,"Fail")</f>
        <v/>
      </c>
      <c r="K41" s="9">
        <f>COUNTIFS('Test Cases'!$J$2:$J$155,"*"&amp;A41&amp;"*",'Test Cases'!$N$2:$N$155,"Blocked")</f>
        <v/>
      </c>
      <c r="L41" s="9">
        <f>COUNTIFS('Test Cases'!$J$2:$J$155,"*"&amp;A41&amp;"*",'Test Cases'!$N$2:$N$155,"N/A")</f>
        <v/>
      </c>
      <c r="M41" s="9">
        <f>COUNTIFS('Test Cases'!$J$2:$J$155,"*"&amp;A41&amp;"*",'Test Cases'!$N$2:$N$155,"Not Run")</f>
        <v/>
      </c>
      <c r="N41" s="10">
        <f>IF(H41=0,0,(H41-M41)/H41)</f>
        <v/>
      </c>
      <c r="O41" s="9">
        <f>IF(H41=0,"No coverage",IF(J41&gt;0,"Fail",IF(M41=H41,"Not run",IF(I41+L41=H41,"Pass","In progress"))))</f>
        <v/>
      </c>
    </row>
    <row r="43">
      <c r="A43" s="19" t="inlineStr">
        <is>
          <t>Counts and verdicts are formulas over Test Cases → Requirement IDs (col J) and Status (col N). IDs other than REQ-* are assigned by this RTM because the SRS does not number those items; see Cover.</t>
        </is>
      </c>
    </row>
  </sheetData>
  <autoFilter ref="A1:O41"/>
  <mergeCells count="1">
    <mergeCell ref="A43:J43"/>
  </mergeCells>
  <conditionalFormatting sqref="O2:O41">
    <cfRule type="cellIs" priority="1" operator="equal" dxfId="0">
      <formula>"Pass"</formula>
    </cfRule>
    <cfRule type="cellIs" priority="2" operator="equal" dxfId="1">
      <formula>"Fail"</formula>
    </cfRule>
    <cfRule type="cellIs" priority="3" operator="equal" dxfId="2">
      <formula>"In progress"</formula>
    </cfRule>
    <cfRule type="cellIs" priority="4" operator="equal" dxfId="5">
      <formula>"No coverage"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55" customWidth="1" min="3" max="3"/>
    <col width="34" customWidth="1" min="4" max="4"/>
    <col width="22" customWidth="1" min="5" max="5"/>
    <col width="18" customWidth="1" min="6" max="6"/>
    <col width="18" customWidth="1" min="7" max="7"/>
    <col width="9" customWidth="1" min="8" max="8"/>
    <col width="12" customWidth="1" min="9" max="9"/>
    <col width="14" customWidth="1" min="10" max="10"/>
    <col width="12" customWidth="1" min="11" max="11"/>
    <col width="30" customWidth="1" min="12" max="12"/>
  </cols>
  <sheetData>
    <row r="1" ht="32" customHeight="1">
      <c r="A1" s="14" t="inlineStr">
        <is>
          <t>Finding ID</t>
        </is>
      </c>
      <c r="B1" s="14" t="inlineStr">
        <is>
          <t>Severity</t>
        </is>
      </c>
      <c r="C1" s="14" t="inlineStr">
        <is>
          <t>Finding</t>
        </is>
      </c>
      <c r="D1" s="14" t="inlineStr">
        <is>
          <t>Evidence (code @ 010694c)</t>
        </is>
      </c>
      <c r="E1" s="14" t="inlineStr">
        <is>
          <t>SRS Reference</t>
        </is>
      </c>
      <c r="F1" s="14" t="inlineStr">
        <is>
          <t>Requirement IDs</t>
        </is>
      </c>
      <c r="G1" s="14" t="inlineStr">
        <is>
          <t>Linked Test Cases</t>
        </is>
      </c>
      <c r="H1" s="14" t="inlineStr">
        <is>
          <t>Failed Cases</t>
        </is>
      </c>
      <c r="I1" s="14" t="inlineStr">
        <is>
          <t>Status</t>
        </is>
      </c>
      <c r="J1" s="14" t="inlineStr">
        <is>
          <t>Owner</t>
        </is>
      </c>
      <c r="K1" s="14" t="inlineStr">
        <is>
          <t>Target Date</t>
        </is>
      </c>
      <c r="L1" s="14" t="inlineStr">
        <is>
          <t>Resolution Notes</t>
        </is>
      </c>
    </row>
    <row r="2">
      <c r="A2" s="11" t="inlineStr">
        <is>
          <t>F-01</t>
        </is>
      </c>
      <c r="B2" s="9" t="inlineStr">
        <is>
          <t>P1</t>
        </is>
      </c>
      <c r="C2" s="15" t="inlineStr">
        <is>
          <t>Web delivery orders are stored only in the browser's localStorage, not in Supabase delivery_orders. Staff, riders and customers on other devices never see them</t>
        </is>
      </c>
      <c r="D2" s="15" t="inlineStr">
        <is>
          <t>src/data/delivery.ts:200-216, DeliveryOrder.tsx:252-280; no delivery_orders query anywhere in src/</t>
        </is>
      </c>
      <c r="E2" s="15" t="inlineStr">
        <is>
          <t>REQ-DEL-004, REQ-ADM-002</t>
        </is>
      </c>
      <c r="F2" s="15" t="inlineStr">
        <is>
          <t>REQ-DEL-004, REQ-ADM-002</t>
        </is>
      </c>
      <c r="G2" s="15" t="inlineStr">
        <is>
          <t>DO-08, DS-14</t>
        </is>
      </c>
      <c r="H2" s="9">
        <f>COUNTIFS('Test Cases'!$P$2:$P$155,"*"&amp;A2&amp;"*",'Test Cases'!$N$2:$N$155,"Fail")</f>
        <v/>
      </c>
      <c r="I2" s="16" t="inlineStr">
        <is>
          <t>Open</t>
        </is>
      </c>
      <c r="J2" s="17" t="n"/>
      <c r="K2" s="18" t="n"/>
      <c r="L2" s="17" t="inlineStr">
        <is>
          <t>Confirmed by inspection of the deployed build on 2026-10-07; still open (not fixed)</t>
        </is>
      </c>
    </row>
    <row r="3">
      <c r="A3" s="11" t="inlineStr">
        <is>
          <t>F-02</t>
        </is>
      </c>
      <c r="B3" s="9" t="inlineStr">
        <is>
          <t>P1</t>
        </is>
      </c>
      <c r="C3" s="15" t="inlineStr">
        <is>
          <t>The order reference is CAP-${1050 + local order count}, generated client-side, so duplicates across devices are possible. The DB function next_delivery_reference() is unused</t>
        </is>
      </c>
      <c r="D3" s="15" t="inlineStr">
        <is>
          <t>DeliveryOrder.tsx:253</t>
        </is>
      </c>
      <c r="E3" s="15" t="inlineStr">
        <is>
          <t>REQ-DEL-004</t>
        </is>
      </c>
      <c r="F3" s="15" t="inlineStr">
        <is>
          <t>REQ-DEL-004</t>
        </is>
      </c>
      <c r="G3" s="15" t="inlineStr">
        <is>
          <t>DO-09</t>
        </is>
      </c>
      <c r="H3" s="9">
        <f>COUNTIFS('Test Cases'!$P$2:$P$155,"*"&amp;A3&amp;"*",'Test Cases'!$N$2:$N$155,"Fail")</f>
        <v/>
      </c>
      <c r="I3" s="16" t="inlineStr">
        <is>
          <t>Open</t>
        </is>
      </c>
      <c r="J3" s="17" t="n"/>
      <c r="K3" s="18" t="n"/>
      <c r="L3" s="17" t="inlineStr">
        <is>
          <t>Confirmed by inspection of the deployed build on 2026-10-07; still open (not fixed)</t>
        </is>
      </c>
    </row>
    <row r="4">
      <c r="A4" s="11" t="inlineStr">
        <is>
          <t>F-03</t>
        </is>
      </c>
      <c r="B4" s="9" t="inlineStr">
        <is>
          <t>P1</t>
        </is>
      </c>
      <c r="C4" s="15" t="inlineStr">
        <is>
          <t>Function room accepts 1–30 guests. The SRS says 10–50</t>
        </is>
      </c>
      <c r="D4" s="15" t="inlineStr">
        <is>
          <t>FunctionRoomReservation.tsx:76-80, maxPax={30}</t>
        </is>
      </c>
      <c r="E4" s="15" t="inlineStr">
        <is>
          <t>BR Party Size</t>
        </is>
      </c>
      <c r="F4" s="15" t="inlineStr">
        <is>
          <t>BR-02</t>
        </is>
      </c>
      <c r="G4" s="15" t="inlineStr">
        <is>
          <t>FR-02, FR-03</t>
        </is>
      </c>
      <c r="H4" s="9">
        <f>COUNTIFS('Test Cases'!$P$2:$P$155,"*"&amp;A4&amp;"*",'Test Cases'!$N$2:$N$155,"Fail")</f>
        <v/>
      </c>
      <c r="I4" s="16" t="inlineStr">
        <is>
          <t>Open</t>
        </is>
      </c>
      <c r="J4" s="17" t="n"/>
      <c r="K4" s="18" t="n"/>
      <c r="L4" s="17" t="inlineStr">
        <is>
          <t>Confirmed by inspection of the deployed build on 2026-10-07; still open (not fixed)</t>
        </is>
      </c>
    </row>
    <row r="5">
      <c r="A5" s="11" t="inlineStr">
        <is>
          <t>F-04</t>
        </is>
      </c>
      <c r="B5" s="9" t="inlineStr">
        <is>
          <t>P1</t>
        </is>
      </c>
      <c r="C5" s="15" t="inlineStr">
        <is>
          <t>No payment gateway or deposit: bookings are created as Pending with no payment, and the GCash/Card options are labels only. PayMaya (REQ-DEL-003) is not offered</t>
        </is>
      </c>
      <c r="D5" s="15" t="inlineStr">
        <is>
          <t>reservations.ts:155, DeliveryOrder.tsx:893</t>
        </is>
      </c>
      <c r="E5" s="15" t="inlineStr">
        <is>
          <t>REQ-RES-003, REQ-DEL-003</t>
        </is>
      </c>
      <c r="F5" s="15" t="inlineStr">
        <is>
          <t>REQ-RES-003, REQ-DEL-003</t>
        </is>
      </c>
      <c r="G5" s="15" t="inlineStr">
        <is>
          <t>FR-10, DO-10</t>
        </is>
      </c>
      <c r="H5" s="9">
        <f>COUNTIFS('Test Cases'!$P$2:$P$155,"*"&amp;A5&amp;"*",'Test Cases'!$N$2:$N$155,"Fail")</f>
        <v/>
      </c>
      <c r="I5" s="16" t="inlineStr">
        <is>
          <t>Open</t>
        </is>
      </c>
      <c r="J5" s="17" t="n"/>
      <c r="K5" s="18" t="n"/>
      <c r="L5" s="17" t="inlineStr">
        <is>
          <t>Confirmed by inspection of the deployed build on 2026-10-07; still open (not fixed)</t>
        </is>
      </c>
    </row>
    <row r="6">
      <c r="A6" s="11" t="inlineStr">
        <is>
          <t>F-05</t>
        </is>
      </c>
      <c r="B6" s="9" t="inlineStr">
        <is>
          <t>P1</t>
        </is>
      </c>
      <c r="C6" s="15" t="inlineStr">
        <is>
          <t>No 10-minute slot hold or expiry. The slot is occupied as soon as the booking is Pending and stays occupied until staff cancel it</t>
        </is>
      </c>
      <c r="D6" s="15" t="inlineStr">
        <is>
          <t>No hold logic in the migrations or src/</t>
        </is>
      </c>
      <c r="E6" s="15" t="inlineStr">
        <is>
          <t>REQ-RES-005</t>
        </is>
      </c>
      <c r="F6" s="15" t="inlineStr">
        <is>
          <t>REQ-RES-005</t>
        </is>
      </c>
      <c r="G6" s="15" t="inlineStr">
        <is>
          <t>FR-10</t>
        </is>
      </c>
      <c r="H6" s="9">
        <f>COUNTIFS('Test Cases'!$P$2:$P$155,"*"&amp;A6&amp;"*",'Test Cases'!$N$2:$N$155,"Fail")</f>
        <v/>
      </c>
      <c r="I6" s="16" t="inlineStr">
        <is>
          <t>Open</t>
        </is>
      </c>
      <c r="J6" s="17" t="n"/>
      <c r="K6" s="18" t="n"/>
      <c r="L6" s="17" t="inlineStr">
        <is>
          <t>Confirmed by inspection of the deployed build on 2026-10-07; still open (not fixed)</t>
        </is>
      </c>
    </row>
    <row r="7">
      <c r="A7" s="11" t="inlineStr">
        <is>
          <t>F-06</t>
        </is>
      </c>
      <c r="B7" s="9" t="inlineStr">
        <is>
          <t>P1</t>
        </is>
      </c>
      <c r="C7" s="15" t="inlineStr">
        <is>
          <t>No confirmation email or self-cancel link</t>
        </is>
      </c>
      <c r="D7" s="15" t="inlineStr">
        <is>
          <t>No SMTP/Resend code</t>
        </is>
      </c>
      <c r="E7" s="15" t="inlineStr">
        <is>
          <t>BR Cancellation, §3.3</t>
        </is>
      </c>
      <c r="F7" s="15" t="inlineStr">
        <is>
          <t>BR-04, IF-SW-01</t>
        </is>
      </c>
      <c r="G7" s="15" t="inlineStr">
        <is>
          <t>FR-12</t>
        </is>
      </c>
      <c r="H7" s="9">
        <f>COUNTIFS('Test Cases'!$P$2:$P$155,"*"&amp;A7&amp;"*",'Test Cases'!$N$2:$N$155,"Fail")</f>
        <v/>
      </c>
      <c r="I7" s="16" t="inlineStr">
        <is>
          <t>Open</t>
        </is>
      </c>
      <c r="J7" s="17" t="n"/>
      <c r="K7" s="18" t="n"/>
      <c r="L7" s="17" t="inlineStr">
        <is>
          <t>Confirmed by inspection of the deployed build on 2026-10-07; still open (not fixed)</t>
        </is>
      </c>
    </row>
    <row r="8">
      <c r="A8" s="11" t="inlineStr">
        <is>
          <t>F-07</t>
        </is>
      </c>
      <c r="B8" s="9" t="inlineStr">
        <is>
          <t>P1</t>
        </is>
      </c>
      <c r="C8" s="15" t="inlineStr">
        <is>
          <t>The web inquiry form does not require sign-in, the server always saves user_id = null (even for a signed-in customer, so the inquiry is never linked to the account), and non-order inquiries are saved as Resolved instead of New</t>
        </is>
      </c>
      <c r="D8" s="15" t="inlineStr">
        <is>
          <t>Inquiries.tsx, webhook.js:820-828</t>
        </is>
      </c>
      <c r="E8" s="15" t="inlineStr">
        <is>
          <t>REQ-INQ-001, §4.1.2-2</t>
        </is>
      </c>
      <c r="F8" s="15" t="inlineStr">
        <is>
          <t>REQ-INQ-001, SEQ-INQ</t>
        </is>
      </c>
      <c r="G8" s="15" t="inlineStr">
        <is>
          <t>IQ-01, IQ-07, S-14</t>
        </is>
      </c>
      <c r="H8" s="9">
        <f>COUNTIFS('Test Cases'!$P$2:$P$155,"*"&amp;A8&amp;"*",'Test Cases'!$N$2:$N$155,"Fail")</f>
        <v/>
      </c>
      <c r="I8" s="16" t="inlineStr">
        <is>
          <t>Open</t>
        </is>
      </c>
      <c r="J8" s="17" t="n"/>
      <c r="K8" s="18" t="n"/>
      <c r="L8" s="17" t="inlineStr">
        <is>
          <t>Confirmed by inspection of the deployed build on 2026-10-07; still open (not fixed)</t>
        </is>
      </c>
    </row>
    <row r="9">
      <c r="A9" s="11" t="inlineStr">
        <is>
          <t>F-08</t>
        </is>
      </c>
      <c r="B9" s="9" t="inlineStr">
        <is>
          <t>P1</t>
        </is>
      </c>
      <c r="C9" s="15" t="inlineStr">
        <is>
          <t>Front-of-house can edit the menu (/delivery/items), and catalog RLS gives FOH write access to packages, items, rooms and blackout dates</t>
        </is>
      </c>
      <c r="D9" s="15" t="inlineStr">
        <is>
          <t>roles.ts OPERATIONS_PATHS; migration 20260917082142 operational_predicate</t>
        </is>
      </c>
      <c r="E9" s="15" t="inlineStr">
        <is>
          <t>BR Menu &amp; Pricing Authority</t>
        </is>
      </c>
      <c r="F9" s="15" t="inlineStr">
        <is>
          <t>BR-03</t>
        </is>
      </c>
      <c r="G9" s="15" t="inlineStr">
        <is>
          <t>DS-08, S-08</t>
        </is>
      </c>
      <c r="H9" s="9">
        <f>COUNTIFS('Test Cases'!$P$2:$P$155,"*"&amp;A9&amp;"*",'Test Cases'!$N$2:$N$155,"Fail")</f>
        <v/>
      </c>
      <c r="I9" s="16" t="inlineStr">
        <is>
          <t>Open</t>
        </is>
      </c>
      <c r="J9" s="17" t="n"/>
      <c r="K9" s="18" t="n"/>
      <c r="L9" s="17" t="inlineStr">
        <is>
          <t>Confirmed by inspection of the deployed build on 2026-10-07; still open (not fixed)</t>
        </is>
      </c>
    </row>
    <row r="10">
      <c r="A10" s="11" t="inlineStr">
        <is>
          <t>F-09</t>
        </is>
      </c>
      <c r="B10" s="9" t="inlineStr">
        <is>
          <t>P1</t>
        </is>
      </c>
      <c r="C10" s="15" t="inlineStr">
        <is>
          <t>Menu manager edits (items, categories, visibility) are stored in localStorage only, so they are not persisted to the DB or shown to other customers</t>
        </is>
      </c>
      <c r="D10" s="15" t="inlineStr">
        <is>
          <t>src/data/deliveryMenu.ts</t>
        </is>
      </c>
      <c r="E10" s="15" t="inlineStr">
        <is>
          <t>REQ-ADM-003, §4.4.2-4</t>
        </is>
      </c>
      <c r="F10" s="15" t="inlineStr">
        <is>
          <t>REQ-ADM-003, SEQ-ADM</t>
        </is>
      </c>
      <c r="G10" s="15" t="inlineStr">
        <is>
          <t>DS-06, S-06</t>
        </is>
      </c>
      <c r="H10" s="9">
        <f>COUNTIFS('Test Cases'!$P$2:$P$155,"*"&amp;A10&amp;"*",'Test Cases'!$N$2:$N$155,"Fail")</f>
        <v/>
      </c>
      <c r="I10" s="16" t="inlineStr">
        <is>
          <t>Open</t>
        </is>
      </c>
      <c r="J10" s="17" t="n"/>
      <c r="K10" s="18" t="n"/>
      <c r="L10" s="17" t="inlineStr">
        <is>
          <t>Confirmed by inspection of the deployed build on 2026-10-07; still open (not fixed)</t>
        </is>
      </c>
    </row>
    <row r="11">
      <c r="A11" s="11" t="inlineStr">
        <is>
          <t>F-10</t>
        </is>
      </c>
      <c r="B11" s="9" t="inlineStr">
        <is>
          <t>P1</t>
        </is>
      </c>
      <c r="C11" s="15" t="inlineStr">
        <is>
          <t>The Inquiry Bot page shows no AI-drafted reply for staff to edit</t>
        </is>
      </c>
      <c r="D11" s="15" t="inlineStr">
        <is>
          <t>InquiryBot.tsx (no draft field)</t>
        </is>
      </c>
      <c r="E11" s="15" t="inlineStr">
        <is>
          <t>REQ-INQ-003</t>
        </is>
      </c>
      <c r="F11" s="15" t="inlineStr">
        <is>
          <t>REQ-INQ-003</t>
        </is>
      </c>
      <c r="G11" s="15" t="inlineStr">
        <is>
          <t>IB-08</t>
        </is>
      </c>
      <c r="H11" s="9">
        <f>COUNTIFS('Test Cases'!$P$2:$P$155,"*"&amp;A11&amp;"*",'Test Cases'!$N$2:$N$155,"Fail")</f>
        <v/>
      </c>
      <c r="I11" s="16" t="inlineStr">
        <is>
          <t>Open</t>
        </is>
      </c>
      <c r="J11" s="17" t="n"/>
      <c r="K11" s="18" t="n"/>
      <c r="L11" s="17" t="inlineStr">
        <is>
          <t>Confirmed by inspection of the deployed build on 2026-10-07; still open (not fixed)</t>
        </is>
      </c>
    </row>
    <row r="12">
      <c r="A12" s="11" t="inlineStr">
        <is>
          <t>F-11</t>
        </is>
      </c>
      <c r="B12" s="9" t="inlineStr">
        <is>
          <t>P1 (brief)</t>
        </is>
      </c>
      <c r="C12" s="15" t="inlineStr">
        <is>
          <t>The Messenger agent never creates orders (place_order → "we can't take orders here"), so no source = messenger rows are written, although the schema supports them</t>
        </is>
      </c>
      <c r="D12" s="15" t="inlineStr">
        <is>
          <t>webhook.js:525, :950-953</t>
        </is>
      </c>
      <c r="E12" s="15" t="inlineStr">
        <is>
          <t>— (the test brief expects it; the SRS does not require it)</t>
        </is>
      </c>
      <c r="F12" s="15" t="inlineStr">
        <is>
          <t>BRIEF</t>
        </is>
      </c>
      <c r="G12" s="15" t="inlineStr">
        <is>
          <t>MA-07</t>
        </is>
      </c>
      <c r="H12" s="9">
        <f>COUNTIFS('Test Cases'!$P$2:$P$155,"*"&amp;A12&amp;"*",'Test Cases'!$N$2:$N$155,"Fail")</f>
        <v/>
      </c>
      <c r="I12" s="16" t="inlineStr">
        <is>
          <t>Open</t>
        </is>
      </c>
      <c r="J12" s="17" t="n"/>
      <c r="K12" s="18" t="n"/>
      <c r="L12" s="17" t="inlineStr">
        <is>
          <t>Confirmed by inspection of the deployed build on 2026-10-07; still open (not fixed)</t>
        </is>
      </c>
    </row>
    <row r="13">
      <c r="A13" s="11" t="inlineStr">
        <is>
          <t>F-12</t>
        </is>
      </c>
      <c r="B13" s="9" t="inlineStr">
        <is>
          <t>P1</t>
        </is>
      </c>
      <c r="C13" s="15" t="inlineStr">
        <is>
          <t>Customer RLS allows updating any column of their own booking or order, including status (e.g., self-Confirmed)</t>
        </is>
      </c>
      <c r="D13" s="15" t="inlineStr">
        <is>
          <t>Migration 20260917082142 update policy</t>
        </is>
      </c>
      <c r="E13" s="15" t="inlineStr">
        <is>
          <t>REQ-RES-003, §5.3</t>
        </is>
      </c>
      <c r="F13" s="15" t="inlineStr">
        <is>
          <t>REQ-RES-003, NFR-SEC-02</t>
        </is>
      </c>
      <c r="G13" s="15" t="inlineStr">
        <is>
          <t>DB-06</t>
        </is>
      </c>
      <c r="H13" s="9">
        <f>COUNTIFS('Test Cases'!$P$2:$P$155,"*"&amp;A13&amp;"*",'Test Cases'!$N$2:$N$155,"Fail")</f>
        <v/>
      </c>
      <c r="I13" s="16" t="inlineStr">
        <is>
          <t>Open</t>
        </is>
      </c>
      <c r="J13" s="17" t="n"/>
      <c r="K13" s="18" t="n"/>
      <c r="L13" s="17" t="n"/>
    </row>
    <row r="14">
      <c r="A14" s="11" t="inlineStr">
        <is>
          <t>F-13</t>
        </is>
      </c>
      <c r="B14" s="9" t="inlineStr">
        <is>
          <t>P1</t>
        </is>
      </c>
      <c r="C14" s="15" t="inlineStr">
        <is>
          <t>A rider account whose display name doesn't match a rider record sees the first rider's orders</t>
        </is>
      </c>
      <c r="D14" s="15" t="inlineStr">
        <is>
          <t>DeliveryRider.tsx:26-34</t>
        </is>
      </c>
      <c r="E14" s="15" t="inlineStr">
        <is>
          <t>§2.3 Rider ("assigned orders")</t>
        </is>
      </c>
      <c r="F14" s="15" t="inlineStr">
        <is>
          <t>UR-RIDER</t>
        </is>
      </c>
      <c r="G14" s="15" t="inlineStr">
        <is>
          <t>DS-11, S-11</t>
        </is>
      </c>
      <c r="H14" s="9">
        <f>COUNTIFS('Test Cases'!$P$2:$P$155,"*"&amp;A14&amp;"*",'Test Cases'!$N$2:$N$155,"Fail")</f>
        <v/>
      </c>
      <c r="I14" s="16" t="inlineStr">
        <is>
          <t>Open</t>
        </is>
      </c>
      <c r="J14" s="17" t="n"/>
      <c r="K14" s="18" t="n"/>
      <c r="L14" s="17" t="inlineStr">
        <is>
          <t>Confirmed by inspection of the deployed build on 2026-10-07; still open (not fixed)</t>
        </is>
      </c>
    </row>
    <row r="15">
      <c r="A15" s="11" t="inlineStr">
        <is>
          <t>F-14</t>
        </is>
      </c>
      <c r="B15" s="9" t="inlineStr">
        <is>
          <t>P2</t>
        </is>
      </c>
      <c r="C15" s="15" t="inlineStr">
        <is>
          <t>There is no UI for managers to block out dates; reserved_dates can only be edited in the DB</t>
        </is>
      </c>
      <c r="D15" s="15" t="inlineStr">
        <is>
          <t>No write to reserved_dates in src/</t>
        </is>
      </c>
      <c r="E15" s="15" t="inlineStr">
        <is>
          <t>REQ-RES-004</t>
        </is>
      </c>
      <c r="F15" s="15" t="inlineStr">
        <is>
          <t>REQ-RES-004</t>
        </is>
      </c>
      <c r="G15" s="15" t="inlineStr">
        <is>
          <t>FR-13</t>
        </is>
      </c>
      <c r="H15" s="9">
        <f>COUNTIFS('Test Cases'!$P$2:$P$155,"*"&amp;A15&amp;"*",'Test Cases'!$N$2:$N$155,"Fail")</f>
        <v/>
      </c>
      <c r="I15" s="16" t="inlineStr">
        <is>
          <t>Open</t>
        </is>
      </c>
      <c r="J15" s="17" t="n"/>
      <c r="K15" s="18" t="n"/>
      <c r="L15" s="17" t="inlineStr">
        <is>
          <t>Confirmed by inspection of the deployed build on 2026-10-07; still open (not fixed)</t>
        </is>
      </c>
    </row>
    <row r="16">
      <c r="A16" s="11" t="inlineStr">
        <is>
          <t>F-15</t>
        </is>
      </c>
      <c r="B16" s="9" t="inlineStr">
        <is>
          <t>P2</t>
        </is>
      </c>
      <c r="C16" s="15" t="inlineStr">
        <is>
          <t>The booking form has no data-privacy consent checkbox</t>
        </is>
      </c>
      <c r="D16" s="15" t="inlineStr">
        <is>
          <t>No "consent" in src/</t>
        </is>
      </c>
      <c r="E16" s="15" t="inlineStr">
        <is>
          <t>§5.3 Data Privacy</t>
        </is>
      </c>
      <c r="F16" s="15" t="inlineStr">
        <is>
          <t>NFR-SEC-01</t>
        </is>
      </c>
      <c r="G16" s="15" t="inlineStr">
        <is>
          <t>FR-14</t>
        </is>
      </c>
      <c r="H16" s="9">
        <f>COUNTIFS('Test Cases'!$P$2:$P$155,"*"&amp;A16&amp;"*",'Test Cases'!$N$2:$N$155,"Fail")</f>
        <v/>
      </c>
      <c r="I16" s="16" t="inlineStr">
        <is>
          <t>Open</t>
        </is>
      </c>
      <c r="J16" s="17" t="n"/>
      <c r="K16" s="18" t="n"/>
      <c r="L16" s="17" t="inlineStr">
        <is>
          <t>Confirmed by inspection of the deployed build on 2026-10-07; still open (not fixed)</t>
        </is>
      </c>
    </row>
    <row r="17">
      <c r="A17" s="11" t="inlineStr">
        <is>
          <t>F-16</t>
        </is>
      </c>
      <c r="B17" s="9" t="inlineStr">
        <is>
          <t>P1</t>
        </is>
      </c>
      <c r="C17" s="15" t="inlineStr">
        <is>
          <t>The 2-day lead time is enforced only in the client. The DB accepts same-day bookings</t>
        </is>
      </c>
      <c r="D17" s="15" t="inlineStr">
        <is>
          <t>CalendarModal.tsx:201-209; no DB check</t>
        </is>
      </c>
      <c r="E17" s="15" t="inlineStr">
        <is>
          <t>BR Lead Time</t>
        </is>
      </c>
      <c r="F17" s="15" t="inlineStr">
        <is>
          <t>BR-01</t>
        </is>
      </c>
      <c r="G17" s="15" t="inlineStr">
        <is>
          <t>DB-10</t>
        </is>
      </c>
      <c r="H17" s="9">
        <f>COUNTIFS('Test Cases'!$P$2:$P$155,"*"&amp;A17&amp;"*",'Test Cases'!$N$2:$N$155,"Fail")</f>
        <v/>
      </c>
      <c r="I17" s="16" t="inlineStr">
        <is>
          <t>Open</t>
        </is>
      </c>
      <c r="J17" s="17" t="n"/>
      <c r="K17" s="18" t="n"/>
      <c r="L17" s="17" t="n"/>
    </row>
    <row r="18">
      <c r="A18" s="11" t="inlineStr">
        <is>
          <t>F-17</t>
        </is>
      </c>
      <c r="B18" s="9" t="inlineStr">
        <is>
          <t>P2</t>
        </is>
      </c>
      <c r="C18" s="15" t="inlineStr">
        <is>
          <t>system_admin can open Operations but RLS denies writes, so status changes fail or silently revert</t>
        </is>
      </c>
      <c r="D18" s="15" t="inlineStr">
        <is>
          <t>Migration 20260917082142 (operational_predicate excludes system_admin)</t>
        </is>
      </c>
      <c r="E18" s="15" t="inlineStr">
        <is>
          <t>§2.3 (Administrator: full access), REQ-ADM-001</t>
        </is>
      </c>
      <c r="F18" s="15" t="inlineStr">
        <is>
          <t>REQ-ADM-001, UR-ADMIN</t>
        </is>
      </c>
      <c r="G18" s="15" t="inlineStr">
        <is>
          <t>DB-14</t>
        </is>
      </c>
      <c r="H18" s="9">
        <f>COUNTIFS('Test Cases'!$P$2:$P$155,"*"&amp;A18&amp;"*",'Test Cases'!$N$2:$N$155,"Fail")</f>
        <v/>
      </c>
      <c r="I18" s="16" t="inlineStr">
        <is>
          <t>Open</t>
        </is>
      </c>
      <c r="J18" s="17" t="n"/>
      <c r="K18" s="18" t="n"/>
      <c r="L18" s="17" t="n"/>
    </row>
    <row r="19">
      <c r="A19" s="11" t="inlineStr">
        <is>
          <t>F-18</t>
        </is>
      </c>
      <c r="B19" s="9" t="inlineStr">
        <is>
          <t>P1</t>
        </is>
      </c>
      <c r="C19" s="15" t="inlineStr">
        <is>
          <t>POST /inquiry-bot has no Meta signature check, and VERIFY_TOKEN falls back to test-agent when the env var is unset</t>
        </is>
      </c>
      <c r="D19" s="15" t="inlineStr">
        <is>
          <t>webhook.js:75, :975. Confirmed live 2026-10-07: unsigned POST returns 200, and the verify token test-agent is accepted, so VERIFY_TOKEN is not set on Railway</t>
        </is>
      </c>
      <c r="E19" s="15" t="inlineStr">
        <is>
          <t>§5.3, §2.5 Vendor</t>
        </is>
      </c>
      <c r="F19" s="15" t="inlineStr">
        <is>
          <t>NFR-SEC-02, CON-01</t>
        </is>
      </c>
      <c r="G19" s="15" t="inlineStr">
        <is>
          <t>DB-15, MA-01</t>
        </is>
      </c>
      <c r="H19" s="9">
        <f>COUNTIFS('Test Cases'!$P$2:$P$155,"*"&amp;A19&amp;"*",'Test Cases'!$N$2:$N$155,"Fail")</f>
        <v/>
      </c>
      <c r="I19" s="16" t="inlineStr">
        <is>
          <t>Open</t>
        </is>
      </c>
      <c r="J19" s="17" t="n"/>
      <c r="K19" s="18" t="n"/>
      <c r="L19" s="17" t="inlineStr">
        <is>
          <t>Confirmed on the live site 2026-10-07 (DB-15 fail; MA-01 accepted the fallback token). Fix: set VERIFY_TOKEN and APP_SECRET on Railway and verify X-Hub-Signature-256</t>
        </is>
      </c>
    </row>
    <row r="20">
      <c r="A20" s="11" t="inlineStr">
        <is>
          <t>F-19</t>
        </is>
      </c>
      <c r="B20" s="9" t="inlineStr">
        <is>
          <t>P2</t>
        </is>
      </c>
      <c r="C20" s="15" t="inlineStr">
        <is>
          <t>Phone rules differ between forms: function room and catering accept +639…, delivery and profile accept only 09…</t>
        </is>
      </c>
      <c r="D20" s="15" t="inlineStr">
        <is>
          <t>FunctionRoomReservation.tsx:16 vs DeliveryOrder.tsx:46</t>
        </is>
      </c>
      <c r="E20" s="15" t="inlineStr">
        <is>
          <t>— (internal consistency)</t>
        </is>
      </c>
      <c r="F20" s="15" t="inlineStr">
        <is>
          <t>BRIEF</t>
        </is>
      </c>
      <c r="G20" s="15" t="inlineStr">
        <is>
          <t>FR-06, DO-05</t>
        </is>
      </c>
      <c r="H20" s="9">
        <f>COUNTIFS('Test Cases'!$P$2:$P$155,"*"&amp;A20&amp;"*",'Test Cases'!$N$2:$N$155,"Fail")</f>
        <v/>
      </c>
      <c r="I20" s="16" t="inlineStr">
        <is>
          <t>Open</t>
        </is>
      </c>
      <c r="J20" s="17" t="n"/>
      <c r="K20" s="18" t="n"/>
      <c r="L20" s="17" t="n"/>
    </row>
    <row r="21">
      <c r="A21" s="11" t="inlineStr">
        <is>
          <t>F-20</t>
        </is>
      </c>
      <c r="B21" s="9" t="inlineStr">
        <is>
          <t>P2</t>
        </is>
      </c>
      <c r="C21" s="15" t="inlineStr">
        <is>
          <t>The delivery status flow differs: the SRS has Received → Preparing → Out for Delivery → Delivered; the app has Preparing → Ready for pickup → Out for delivery → Delivered</t>
        </is>
      </c>
      <c r="D21" s="15" t="inlineStr">
        <is>
          <t>delivery.ts:49</t>
        </is>
      </c>
      <c r="E21" s="15" t="inlineStr">
        <is>
          <t>§4.3.2-5</t>
        </is>
      </c>
      <c r="F21" s="15" t="inlineStr">
        <is>
          <t>SEQ-DEL</t>
        </is>
      </c>
      <c r="G21" s="15" t="inlineStr">
        <is>
          <t>DS-02, S-02</t>
        </is>
      </c>
      <c r="H21" s="9">
        <f>COUNTIFS('Test Cases'!$P$2:$P$155,"*"&amp;A21&amp;"*",'Test Cases'!$N$2:$N$155,"Fail")</f>
        <v/>
      </c>
      <c r="I21" s="16" t="inlineStr">
        <is>
          <t>Open</t>
        </is>
      </c>
      <c r="J21" s="17" t="n"/>
      <c r="K21" s="18" t="n"/>
      <c r="L21" s="17" t="n"/>
    </row>
    <row r="22">
      <c r="A22" s="11" t="inlineStr">
        <is>
          <t>F-21</t>
        </is>
      </c>
      <c r="B22" s="9" t="inlineStr">
        <is>
          <t>P2</t>
        </is>
      </c>
      <c r="C22" s="15" t="inlineStr">
        <is>
          <t>Packed-meal bookings are saved with email = "", so staff cannot email the customer</t>
        </is>
      </c>
      <c r="D22" s="15" t="inlineStr">
        <is>
          <t>CateringPacked.tsx:292</t>
        </is>
      </c>
      <c r="E22" s="15" t="inlineStr">
        <is>
          <t>§3.3 SMTP</t>
        </is>
      </c>
      <c r="F22" s="15" t="inlineStr">
        <is>
          <t>IF-SW-01</t>
        </is>
      </c>
      <c r="G22" s="15" t="inlineStr">
        <is>
          <t>CT-12</t>
        </is>
      </c>
      <c r="H22" s="9">
        <f>COUNTIFS('Test Cases'!$P$2:$P$155,"*"&amp;A22&amp;"*",'Test Cases'!$N$2:$N$155,"Fail")</f>
        <v/>
      </c>
      <c r="I22" s="16" t="inlineStr">
        <is>
          <t>Open</t>
        </is>
      </c>
      <c r="J22" s="17" t="n"/>
      <c r="K22" s="18" t="n"/>
      <c r="L22" s="17" t="n"/>
    </row>
    <row r="23">
      <c r="A23" s="11" t="inlineStr">
        <is>
          <t>F-22</t>
        </is>
      </c>
      <c r="B23" s="9" t="inlineStr">
        <is>
          <t>P1</t>
        </is>
      </c>
      <c r="C23" s="15" t="inlineStr">
        <is>
          <t>No reporting module: /dashboard shows charts but has no sales-value or room-utilisation summary and no export</t>
        </is>
      </c>
      <c r="D23" s="15" t="inlineStr">
        <is>
          <t>Dashboard.tsx (no CSV/PDF/download code)</t>
        </is>
      </c>
      <c r="E23" s="15" t="inlineStr">
        <is>
          <t>REQ-ADM-004</t>
        </is>
      </c>
      <c r="F23" s="15" t="inlineStr">
        <is>
          <t>REQ-ADM-004</t>
        </is>
      </c>
      <c r="G23" s="15" t="inlineStr">
        <is>
          <t>OP-09</t>
        </is>
      </c>
      <c r="H23" s="9">
        <f>COUNTIFS('Test Cases'!$P$2:$P$155,"*"&amp;A23&amp;"*",'Test Cases'!$N$2:$N$155,"Fail")</f>
        <v/>
      </c>
      <c r="I23" s="16" t="inlineStr">
        <is>
          <t>Open</t>
        </is>
      </c>
      <c r="J23" s="17" t="n"/>
      <c r="K23" s="18" t="n"/>
      <c r="L23" s="17" t="inlineStr">
        <is>
          <t>Confirmed by inspection of the deployed build on 2026-10-07; still open (not fixed)</t>
        </is>
      </c>
    </row>
    <row r="24">
      <c r="A24" s="11" t="inlineStr">
        <is>
          <t>F-23</t>
        </is>
      </c>
      <c r="B24" s="9" t="inlineStr">
        <is>
          <t>P2</t>
        </is>
      </c>
      <c r="C24" s="15" t="inlineStr">
        <is>
          <t>Menu items have no allergen or dietary tags</t>
        </is>
      </c>
      <c r="D24" s="15" t="inlineStr">
        <is>
          <t>No "allergen" anywhere in src/</t>
        </is>
      </c>
      <c r="E24" s="15" t="inlineStr">
        <is>
          <t>REQ-DEL-001</t>
        </is>
      </c>
      <c r="F24" s="15" t="inlineStr">
        <is>
          <t>REQ-DEL-001</t>
        </is>
      </c>
      <c r="G24" s="15" t="inlineStr">
        <is>
          <t>DO-13</t>
        </is>
      </c>
      <c r="H24" s="9">
        <f>COUNTIFS('Test Cases'!$P$2:$P$155,"*"&amp;A24&amp;"*",'Test Cases'!$N$2:$N$155,"Fail")</f>
        <v/>
      </c>
      <c r="I24" s="16" t="inlineStr">
        <is>
          <t>Open</t>
        </is>
      </c>
      <c r="J24" s="17" t="n"/>
      <c r="K24" s="18" t="n"/>
      <c r="L24" s="17" t="inlineStr">
        <is>
          <t>Confirmed by inspection of the deployed build on 2026-10-07; still open (not fixed)</t>
        </is>
      </c>
    </row>
    <row r="25">
      <c r="A25" s="11" t="inlineStr">
        <is>
          <t>F-24</t>
        </is>
      </c>
      <c r="B25" s="9" t="inlineStr">
        <is>
          <t>P2</t>
        </is>
      </c>
      <c r="C25" s="15" t="inlineStr">
        <is>
          <t>Customisation notes are per order, not per item</t>
        </is>
      </c>
      <c r="D25" s="15" t="inlineStr">
        <is>
          <t>DeliveryOrder.tsx:900 (single Notes field)</t>
        </is>
      </c>
      <c r="E25" s="15" t="inlineStr">
        <is>
          <t>REQ-DEL-002</t>
        </is>
      </c>
      <c r="F25" s="15" t="inlineStr">
        <is>
          <t>REQ-DEL-002</t>
        </is>
      </c>
      <c r="G25" s="15" t="inlineStr">
        <is>
          <t>DO-14</t>
        </is>
      </c>
      <c r="H25" s="9">
        <f>COUNTIFS('Test Cases'!$P$2:$P$155,"*"&amp;A25&amp;"*",'Test Cases'!$N$2:$N$155,"Fail")</f>
        <v/>
      </c>
      <c r="I25" s="16" t="inlineStr">
        <is>
          <t>Open</t>
        </is>
      </c>
      <c r="J25" s="17" t="n"/>
      <c r="K25" s="18" t="n"/>
      <c r="L25" s="17" t="inlineStr">
        <is>
          <t>Confirmed by inspection of the deployed build on 2026-10-07; still open (not fixed)</t>
        </is>
      </c>
    </row>
    <row r="26">
      <c r="A26" s="11" t="inlineStr">
        <is>
          <t>F-25</t>
        </is>
      </c>
      <c r="B26" s="9" t="inlineStr">
        <is>
          <t>P2</t>
        </is>
      </c>
      <c r="C26" s="15" t="inlineStr">
        <is>
          <t>Riders can set Out for delivery as well as Delivered</t>
        </is>
      </c>
      <c r="D26" s="15" t="inlineStr">
        <is>
          <t>DeliveryRider.tsx:36-44 (NEXT_STATUS)</t>
        </is>
      </c>
      <c r="E26" s="15" t="inlineStr">
        <is>
          <t>§2.3 Delivery Rider</t>
        </is>
      </c>
      <c r="F26" s="15" t="inlineStr">
        <is>
          <t>UR-RIDER</t>
        </is>
      </c>
      <c r="G26" s="15" t="inlineStr">
        <is>
          <t>DS-13, S-13, S-18</t>
        </is>
      </c>
      <c r="H26" s="9">
        <f>COUNTIFS('Test Cases'!$P$2:$P$155,"*"&amp;A26&amp;"*",'Test Cases'!$N$2:$N$155,"Fail")</f>
        <v/>
      </c>
      <c r="I26" s="16" t="inlineStr">
        <is>
          <t>Open</t>
        </is>
      </c>
      <c r="J26" s="17" t="n"/>
      <c r="K26" s="18" t="n"/>
      <c r="L26" s="17" t="inlineStr">
        <is>
          <t>Confirmed by inspection of the deployed build on 2026-10-07; still open (not fixed)</t>
        </is>
      </c>
    </row>
    <row r="27">
      <c r="A27" s="11" t="inlineStr">
        <is>
          <t>F-26</t>
        </is>
      </c>
      <c r="B27" s="9" t="inlineStr">
        <is>
          <t>P2</t>
        </is>
      </c>
      <c r="C27" s="15" t="inlineStr">
        <is>
          <t>No audible chime and no live refresh for new delivery orders on the staff page</t>
        </is>
      </c>
      <c r="D27" s="15" t="inlineStr">
        <is>
          <t>No audio code in src/; AdminDelivery.tsx has no polling or storage listener</t>
        </is>
      </c>
      <c r="E27" s="15" t="inlineStr">
        <is>
          <t>§4.3.2-4, §3.1</t>
        </is>
      </c>
      <c r="F27" s="15" t="inlineStr">
        <is>
          <t>IF-UI-01, SEQ-DEL</t>
        </is>
      </c>
      <c r="G27" s="15" t="inlineStr">
        <is>
          <t>DS-14, S-14</t>
        </is>
      </c>
      <c r="H27" s="9">
        <f>COUNTIFS('Test Cases'!$P$2:$P$155,"*"&amp;A27&amp;"*",'Test Cases'!$N$2:$N$155,"Fail")</f>
        <v/>
      </c>
      <c r="I27" s="16" t="inlineStr">
        <is>
          <t>Open</t>
        </is>
      </c>
      <c r="J27" s="17" t="n"/>
      <c r="K27" s="18" t="n"/>
      <c r="L27" s="17" t="inlineStr">
        <is>
          <t>Confirmed by inspection of the deployed build on 2026-10-07; still open (not fixed)</t>
        </is>
      </c>
    </row>
    <row r="28">
      <c r="A28" s="11" t="inlineStr">
        <is>
          <t>F-27</t>
        </is>
      </c>
      <c r="B28" s="9" t="inlineStr">
        <is>
          <t>P2</t>
        </is>
      </c>
      <c r="C28" s="15" t="inlineStr">
        <is>
          <t>Inquiries and dashboard counts arrive by 10-second polling, not WebSocket/SSE push (bookings do use Supabase Realtime)</t>
        </is>
      </c>
      <c r="D28" s="15" t="inlineStr">
        <is>
          <t>setInterval in Operations.tsx, InquiryBot.tsx, Dashboard.tsx</t>
        </is>
      </c>
      <c r="E28" s="15" t="inlineStr">
        <is>
          <t>§3.4, §3.1</t>
        </is>
      </c>
      <c r="F28" s="15" t="inlineStr">
        <is>
          <t>IF-UI-01, IF-COM-01</t>
        </is>
      </c>
      <c r="G28" s="15" t="inlineStr">
        <is>
          <t>IQ-05</t>
        </is>
      </c>
      <c r="H28" s="9">
        <f>COUNTIFS('Test Cases'!$P$2:$P$155,"*"&amp;A28&amp;"*",'Test Cases'!$N$2:$N$155,"Fail")</f>
        <v/>
      </c>
      <c r="I28" s="16" t="inlineStr">
        <is>
          <t>Open</t>
        </is>
      </c>
      <c r="J28" s="17" t="n"/>
      <c r="K28" s="18" t="n"/>
      <c r="L28" s="17" t="n"/>
    </row>
    <row r="29">
      <c r="A29" s="11" t="inlineStr">
        <is>
          <t>F-28</t>
        </is>
      </c>
      <c r="B29" s="9" t="inlineStr">
        <is>
          <t>P2</t>
        </is>
      </c>
      <c r="C29" s="15" t="inlineStr">
        <is>
          <t>Booking flow differs from §4.2.2: no duration choice, status Pending instead of Pending Deposit, collision text differs from "Already Reserved"</t>
        </is>
      </c>
      <c r="D29" s="15" t="inlineStr">
        <is>
          <t>reservations.ts:7; CalendarModal.tsx</t>
        </is>
      </c>
      <c r="E29" s="15" t="inlineStr">
        <is>
          <t>§4.2.2-1, -4, -5</t>
        </is>
      </c>
      <c r="F29" s="15" t="inlineStr">
        <is>
          <t>SEQ-RES</t>
        </is>
      </c>
      <c r="G29" s="15" t="inlineStr">
        <is>
          <t>FR-15</t>
        </is>
      </c>
      <c r="H29" s="9">
        <f>COUNTIFS('Test Cases'!$P$2:$P$155,"*"&amp;A29&amp;"*",'Test Cases'!$N$2:$N$155,"Fail")</f>
        <v/>
      </c>
      <c r="I29" s="16" t="inlineStr">
        <is>
          <t>Open</t>
        </is>
      </c>
      <c r="J29" s="17" t="n"/>
      <c r="K29" s="18" t="n"/>
      <c r="L29" s="17" t="inlineStr">
        <is>
          <t>Confirmed by inspection of the deployed build on 2026-10-07; still open (not fixed)</t>
        </is>
      </c>
    </row>
    <row r="30">
      <c r="A30" s="11" t="inlineStr">
        <is>
          <t>F-29</t>
        </is>
      </c>
      <c r="B30" s="9" t="inlineStr">
        <is>
          <t>P2</t>
        </is>
      </c>
      <c r="C30" s="15" t="inlineStr">
        <is>
          <t>Staff cannot flag late cancellations or no-shows</t>
        </is>
      </c>
      <c r="D30" s="15" t="inlineStr">
        <is>
          <t>ReservationStatus has no such value (reservations.ts:7)</t>
        </is>
      </c>
      <c r="E30" s="15" t="inlineStr">
        <is>
          <t>BR Cancellation</t>
        </is>
      </c>
      <c r="F30" s="15" t="inlineStr">
        <is>
          <t>BR-04</t>
        </is>
      </c>
      <c r="G30" s="15" t="inlineStr">
        <is>
          <t>FR-16</t>
        </is>
      </c>
      <c r="H30" s="9">
        <f>COUNTIFS('Test Cases'!$P$2:$P$155,"*"&amp;A30&amp;"*",'Test Cases'!$N$2:$N$155,"Fail")</f>
        <v/>
      </c>
      <c r="I30" s="16" t="inlineStr">
        <is>
          <t>Open</t>
        </is>
      </c>
      <c r="J30" s="17" t="n"/>
      <c r="K30" s="18" t="n"/>
      <c r="L30" s="17" t="inlineStr">
        <is>
          <t>Confirmed by inspection of the deployed build on 2026-10-07; still open (not fixed)</t>
        </is>
      </c>
    </row>
    <row r="31">
      <c r="A31" s="11" t="inlineStr">
        <is>
          <t>F-30</t>
        </is>
      </c>
      <c r="B31" s="9" t="inlineStr">
        <is>
          <t>P2</t>
        </is>
      </c>
      <c r="C31" s="15" t="inlineStr">
        <is>
          <t>Operations stat cards differ from the SRS widgets: no Room Occupancy, and revenue appears only as a hint</t>
        </is>
      </c>
      <c r="D31" s="15" t="inlineStr">
        <is>
          <t>Operations.tsx:277-281</t>
        </is>
      </c>
      <c r="E31" s="15" t="inlineStr">
        <is>
          <t>§4.4.2-3</t>
        </is>
      </c>
      <c r="F31" s="15" t="inlineStr">
        <is>
          <t>SEQ-ADM</t>
        </is>
      </c>
      <c r="G31" s="15" t="inlineStr">
        <is>
          <t>OP-08</t>
        </is>
      </c>
      <c r="H31" s="9">
        <f>COUNTIFS('Test Cases'!$P$2:$P$155,"*"&amp;A31&amp;"*",'Test Cases'!$N$2:$N$155,"Fail")</f>
        <v/>
      </c>
      <c r="I31" s="16" t="inlineStr">
        <is>
          <t>Open</t>
        </is>
      </c>
      <c r="J31" s="17" t="n"/>
      <c r="K31" s="18" t="n"/>
      <c r="L31" s="17" t="inlineStr">
        <is>
          <t>Confirmed by inspection of the deployed build on 2026-10-07; still open (not fixed)</t>
        </is>
      </c>
    </row>
    <row r="32">
      <c r="A32" s="11" t="inlineStr">
        <is>
          <t>F-31</t>
        </is>
      </c>
      <c r="B32" s="9" t="inlineStr">
        <is>
          <t>P2 (docs)</t>
        </is>
      </c>
      <c r="C32" s="15" t="inlineStr">
        <is>
          <t>The SRS architecture doesn't match the build: Python FastAPI backend vs. Express webhook.js; SELECT FOR UPDATE vs. a partial unique index for slot locking. Behaviour is equivalent; update the SRS (§2.1, §2.4, REQ-RES-002) or record a design decision</t>
        </is>
      </c>
      <c r="D32" s="15" t="inlineStr">
        <is>
          <t>webhook.js; migration unique index function_bookings_active_slot_unique</t>
        </is>
      </c>
      <c r="E32" s="15" t="inlineStr">
        <is>
          <t>§2.1, §2.4, REQ-RES-002</t>
        </is>
      </c>
      <c r="F32" s="15" t="inlineStr">
        <is>
          <t>REQ-RES-002, ARCH-01</t>
        </is>
      </c>
      <c r="G32" s="15" t="inlineStr">
        <is>
          <t>DB-08</t>
        </is>
      </c>
      <c r="H32" s="9">
        <f>COUNTIFS('Test Cases'!$P$2:$P$155,"*"&amp;A32&amp;"*",'Test Cases'!$N$2:$N$155,"Fail")</f>
        <v/>
      </c>
      <c r="I32" s="16" t="inlineStr">
        <is>
          <t>SRS to update</t>
        </is>
      </c>
      <c r="J32" s="17" t="n"/>
      <c r="K32" s="18" t="n"/>
      <c r="L32" s="17" t="inlineStr">
        <is>
          <t>QA recommendation: behaviour is equivalent, so update SRS §2.1, §2.4 and REQ-RES-002 rather than the code. Confirm with the team</t>
        </is>
      </c>
    </row>
    <row r="33">
      <c r="A33" s="11" t="inlineStr">
        <is>
          <t>F-32</t>
        </is>
      </c>
      <c r="B33" s="9" t="inlineStr">
        <is>
          <t>P2</t>
        </is>
      </c>
      <c r="C33" s="15" t="inlineStr">
        <is>
          <t>The Supabase catalog tables (catering_packages, packed_menu_items, function_rooms) are never read by the app, and their data disagrees with what customers see: the DB has Package 1–3 for 50–500 guests, the site shows Package A–C for 10–12 guests from serviceCatalog.json. Catalog edits in the DB never reach the site, so the catalog write access in F-08 has no UI effect and REQ-ADM-003 cannot be met through the DB</t>
        </is>
      </c>
      <c r="D33" s="15" t="inlineStr">
        <is>
          <t>No query on those tables in src/ or webhook.js; seed in migration 20260827090541:139-141; live anon GET on 2026-10-07</t>
        </is>
      </c>
      <c r="E33" s="15" t="inlineStr">
        <is>
          <t>REQ-ADM-003, §4.4.2-4</t>
        </is>
      </c>
      <c r="F33" s="15" t="inlineStr">
        <is>
          <t>REQ-ADM-003, SEQ-ADM</t>
        </is>
      </c>
      <c r="G33" s="15" t="inlineStr">
        <is>
          <t>DS-06, S-06</t>
        </is>
      </c>
      <c r="H33" s="9">
        <f>COUNTIFS('Test Cases'!$P$2:$P$155,"*"&amp;A33&amp;"*",'Test Cases'!$N$2:$N$155,"Fail")</f>
        <v/>
      </c>
      <c r="I33" s="16" t="inlineStr">
        <is>
          <t>Open</t>
        </is>
      </c>
      <c r="J33" s="17" t="n"/>
      <c r="K33" s="18" t="n"/>
      <c r="L33" s="17" t="inlineStr">
        <is>
          <t>Found on the live site 2026-10-07 (anon GET catering_packages returned Package 1–3, 50–500 pax)</t>
        </is>
      </c>
    </row>
    <row r="34"/>
    <row r="35">
      <c r="A35" s="19" t="inlineStr">
        <is>
          <t>Failed Cases counts test cases whose Defect / Finding ID contains this finding and whose Status is Fail. Note: 'F-1' style partial matches are avoided because IDs are two digits (F-01 … F-31).</t>
        </is>
      </c>
    </row>
  </sheetData>
  <autoFilter ref="A1:L33"/>
  <mergeCells count="1">
    <mergeCell ref="A35:H35"/>
  </mergeCells>
  <dataValidations count="1">
    <dataValidation sqref="I2:I33" showDropDown="0" showInputMessage="0" showErrorMessage="0" allowBlank="0" type="list">
      <formula1>"Open,In progress,Fixed,Verified,Won't fix,SRS to update"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2026-10-07T03:38:16Z</dcterms:created>
  <dcterms:modified xmlns:dcterms="http://purl.org/dc/terms/" xmlns:xsi="http://www.w3.org/2001/XMLSchema-instance" xsi:type="dcterms:W3CDTF">2026-10-07T03:38:18Z</dcterms:modified>
</cp:coreProperties>
</file>