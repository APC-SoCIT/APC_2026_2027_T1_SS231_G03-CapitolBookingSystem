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ophe\AppData\Local\Temp\claude\c--Users-sophe-Desktop-APC-2026-2027-T1-SS231-G03-CapitolBookingSystem\ab520258-f667-47ac-967d-9218c12f8ccb\scratchpad\"/>
    </mc:Choice>
  </mc:AlternateContent>
  <xr:revisionPtr revIDLastSave="0" documentId="13_ncr:1_{48143680-FD83-40CC-8976-343E80C904F8}" xr6:coauthVersionLast="47" xr6:coauthVersionMax="47" xr10:uidLastSave="{00000000-0000-0000-0000-000000000000}"/>
  <bookViews>
    <workbookView xWindow="-108" yWindow="-108" windowWidth="23256" windowHeight="12456" xr2:uid="{00000000-000D-0000-FFFF-FFFF00000000}"/>
  </bookViews>
  <sheets>
    <sheet name="Cover" sheetId="1" r:id="rId1"/>
    <sheet name="Summary" sheetId="2" r:id="rId2"/>
    <sheet name="Test Cases" sheetId="3" r:id="rId3"/>
    <sheet name="RTM" sheetId="4" r:id="rId4"/>
    <sheet name="Findings" sheetId="5" r:id="rId5"/>
  </sheets>
  <definedNames>
    <definedName name="_xlnm._FilterDatabase" localSheetId="4" hidden="1">Findings!$A$1:$L$32</definedName>
    <definedName name="_xlnm._FilterDatabase" localSheetId="3" hidden="1">RTM!$A$1:$O$41</definedName>
    <definedName name="_xlnm._FilterDatabase" localSheetId="2" hidden="1">'Test Cases'!$A$1:$T$155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2" i="5" l="1"/>
  <c r="H31" i="5"/>
  <c r="H30" i="5"/>
  <c r="H29" i="5"/>
  <c r="H28" i="5"/>
  <c r="H27" i="5"/>
  <c r="H26" i="5"/>
  <c r="H25" i="5"/>
  <c r="H24" i="5"/>
  <c r="H23" i="5"/>
  <c r="H22" i="5"/>
  <c r="H21" i="5"/>
  <c r="H20" i="5"/>
  <c r="H19" i="5"/>
  <c r="H18" i="5"/>
  <c r="H17" i="5"/>
  <c r="H16" i="5"/>
  <c r="H15" i="5"/>
  <c r="H14" i="5"/>
  <c r="H13" i="5"/>
  <c r="H12" i="5"/>
  <c r="H11" i="5"/>
  <c r="H10" i="5"/>
  <c r="H9" i="5"/>
  <c r="H8" i="5"/>
  <c r="H7" i="5"/>
  <c r="H6" i="5"/>
  <c r="H5" i="5"/>
  <c r="H4" i="5"/>
  <c r="H3" i="5"/>
  <c r="H2" i="5"/>
  <c r="M41" i="4"/>
  <c r="L41" i="4"/>
  <c r="K41" i="4"/>
  <c r="J41" i="4"/>
  <c r="I41" i="4"/>
  <c r="H41" i="4"/>
  <c r="M40" i="4"/>
  <c r="L40" i="4"/>
  <c r="K40" i="4"/>
  <c r="J40" i="4"/>
  <c r="I40" i="4"/>
  <c r="H40" i="4"/>
  <c r="M39" i="4"/>
  <c r="L39" i="4"/>
  <c r="K39" i="4"/>
  <c r="J39" i="4"/>
  <c r="I39" i="4"/>
  <c r="H39" i="4"/>
  <c r="N39" i="4" s="1"/>
  <c r="M38" i="4"/>
  <c r="L38" i="4"/>
  <c r="K38" i="4"/>
  <c r="J38" i="4"/>
  <c r="I38" i="4"/>
  <c r="H38" i="4"/>
  <c r="N38" i="4" s="1"/>
  <c r="M37" i="4"/>
  <c r="L37" i="4"/>
  <c r="K37" i="4"/>
  <c r="J37" i="4"/>
  <c r="I37" i="4"/>
  <c r="H37" i="4"/>
  <c r="M36" i="4"/>
  <c r="L36" i="4"/>
  <c r="K36" i="4"/>
  <c r="J36" i="4"/>
  <c r="I36" i="4"/>
  <c r="H36" i="4"/>
  <c r="M35" i="4"/>
  <c r="L35" i="4"/>
  <c r="K35" i="4"/>
  <c r="J35" i="4"/>
  <c r="I35" i="4"/>
  <c r="H35" i="4"/>
  <c r="N35" i="4" s="1"/>
  <c r="M34" i="4"/>
  <c r="L34" i="4"/>
  <c r="K34" i="4"/>
  <c r="J34" i="4"/>
  <c r="I34" i="4"/>
  <c r="H34" i="4"/>
  <c r="N34" i="4" s="1"/>
  <c r="M33" i="4"/>
  <c r="L33" i="4"/>
  <c r="K33" i="4"/>
  <c r="J33" i="4"/>
  <c r="I33" i="4"/>
  <c r="H33" i="4"/>
  <c r="M32" i="4"/>
  <c r="L32" i="4"/>
  <c r="K32" i="4"/>
  <c r="J32" i="4"/>
  <c r="I32" i="4"/>
  <c r="H32" i="4"/>
  <c r="M31" i="4"/>
  <c r="L31" i="4"/>
  <c r="K31" i="4"/>
  <c r="J31" i="4"/>
  <c r="I31" i="4"/>
  <c r="H31" i="4"/>
  <c r="N31" i="4" s="1"/>
  <c r="M30" i="4"/>
  <c r="L30" i="4"/>
  <c r="K30" i="4"/>
  <c r="J30" i="4"/>
  <c r="I30" i="4"/>
  <c r="H30" i="4"/>
  <c r="N30" i="4" s="1"/>
  <c r="M29" i="4"/>
  <c r="L29" i="4"/>
  <c r="K29" i="4"/>
  <c r="J29" i="4"/>
  <c r="I29" i="4"/>
  <c r="H29" i="4"/>
  <c r="M28" i="4"/>
  <c r="L28" i="4"/>
  <c r="K28" i="4"/>
  <c r="J28" i="4"/>
  <c r="I28" i="4"/>
  <c r="H28" i="4"/>
  <c r="M27" i="4"/>
  <c r="L27" i="4"/>
  <c r="K27" i="4"/>
  <c r="J27" i="4"/>
  <c r="I27" i="4"/>
  <c r="H27" i="4"/>
  <c r="N27" i="4" s="1"/>
  <c r="M26" i="4"/>
  <c r="L26" i="4"/>
  <c r="K26" i="4"/>
  <c r="J26" i="4"/>
  <c r="I26" i="4"/>
  <c r="H26" i="4"/>
  <c r="N26" i="4" s="1"/>
  <c r="M25" i="4"/>
  <c r="L25" i="4"/>
  <c r="K25" i="4"/>
  <c r="J25" i="4"/>
  <c r="I25" i="4"/>
  <c r="H25" i="4"/>
  <c r="M24" i="4"/>
  <c r="L24" i="4"/>
  <c r="K24" i="4"/>
  <c r="J24" i="4"/>
  <c r="I24" i="4"/>
  <c r="H24" i="4"/>
  <c r="M23" i="4"/>
  <c r="L23" i="4"/>
  <c r="K23" i="4"/>
  <c r="J23" i="4"/>
  <c r="I23" i="4"/>
  <c r="H23" i="4"/>
  <c r="N23" i="4" s="1"/>
  <c r="M22" i="4"/>
  <c r="L22" i="4"/>
  <c r="K22" i="4"/>
  <c r="J22" i="4"/>
  <c r="I22" i="4"/>
  <c r="H22" i="4"/>
  <c r="N22" i="4" s="1"/>
  <c r="M21" i="4"/>
  <c r="L21" i="4"/>
  <c r="K21" i="4"/>
  <c r="J21" i="4"/>
  <c r="I21" i="4"/>
  <c r="H21" i="4"/>
  <c r="M20" i="4"/>
  <c r="L20" i="4"/>
  <c r="K20" i="4"/>
  <c r="J20" i="4"/>
  <c r="I20" i="4"/>
  <c r="H20" i="4"/>
  <c r="M19" i="4"/>
  <c r="L19" i="4"/>
  <c r="K19" i="4"/>
  <c r="J19" i="4"/>
  <c r="I19" i="4"/>
  <c r="H19" i="4"/>
  <c r="N19" i="4" s="1"/>
  <c r="M18" i="4"/>
  <c r="L18" i="4"/>
  <c r="K18" i="4"/>
  <c r="J18" i="4"/>
  <c r="I18" i="4"/>
  <c r="H18" i="4"/>
  <c r="N18" i="4" s="1"/>
  <c r="M17" i="4"/>
  <c r="L17" i="4"/>
  <c r="K17" i="4"/>
  <c r="J17" i="4"/>
  <c r="I17" i="4"/>
  <c r="H17" i="4"/>
  <c r="M16" i="4"/>
  <c r="L16" i="4"/>
  <c r="K16" i="4"/>
  <c r="J16" i="4"/>
  <c r="I16" i="4"/>
  <c r="H16" i="4"/>
  <c r="M15" i="4"/>
  <c r="L15" i="4"/>
  <c r="K15" i="4"/>
  <c r="J15" i="4"/>
  <c r="I15" i="4"/>
  <c r="H15" i="4"/>
  <c r="N15" i="4" s="1"/>
  <c r="M14" i="4"/>
  <c r="L14" i="4"/>
  <c r="K14" i="4"/>
  <c r="J14" i="4"/>
  <c r="I14" i="4"/>
  <c r="H14" i="4"/>
  <c r="N14" i="4" s="1"/>
  <c r="M13" i="4"/>
  <c r="L13" i="4"/>
  <c r="K13" i="4"/>
  <c r="J13" i="4"/>
  <c r="I13" i="4"/>
  <c r="H13" i="4"/>
  <c r="M12" i="4"/>
  <c r="L12" i="4"/>
  <c r="K12" i="4"/>
  <c r="J12" i="4"/>
  <c r="I12" i="4"/>
  <c r="H12" i="4"/>
  <c r="M11" i="4"/>
  <c r="L11" i="4"/>
  <c r="K11" i="4"/>
  <c r="J11" i="4"/>
  <c r="I11" i="4"/>
  <c r="H11" i="4"/>
  <c r="N11" i="4" s="1"/>
  <c r="M10" i="4"/>
  <c r="L10" i="4"/>
  <c r="K10" i="4"/>
  <c r="J10" i="4"/>
  <c r="I10" i="4"/>
  <c r="H10" i="4"/>
  <c r="N10" i="4" s="1"/>
  <c r="M9" i="4"/>
  <c r="L9" i="4"/>
  <c r="K9" i="4"/>
  <c r="J9" i="4"/>
  <c r="I9" i="4"/>
  <c r="H9" i="4"/>
  <c r="M8" i="4"/>
  <c r="L8" i="4"/>
  <c r="K8" i="4"/>
  <c r="J8" i="4"/>
  <c r="I8" i="4"/>
  <c r="H8" i="4"/>
  <c r="M7" i="4"/>
  <c r="L7" i="4"/>
  <c r="K7" i="4"/>
  <c r="J7" i="4"/>
  <c r="I7" i="4"/>
  <c r="H7" i="4"/>
  <c r="N7" i="4" s="1"/>
  <c r="M6" i="4"/>
  <c r="L6" i="4"/>
  <c r="K6" i="4"/>
  <c r="J6" i="4"/>
  <c r="I6" i="4"/>
  <c r="H6" i="4"/>
  <c r="N6" i="4" s="1"/>
  <c r="M5" i="4"/>
  <c r="L5" i="4"/>
  <c r="K5" i="4"/>
  <c r="J5" i="4"/>
  <c r="I5" i="4"/>
  <c r="H5" i="4"/>
  <c r="M4" i="4"/>
  <c r="L4" i="4"/>
  <c r="K4" i="4"/>
  <c r="J4" i="4"/>
  <c r="I4" i="4"/>
  <c r="H4" i="4"/>
  <c r="M3" i="4"/>
  <c r="L3" i="4"/>
  <c r="K3" i="4"/>
  <c r="J3" i="4"/>
  <c r="I3" i="4"/>
  <c r="H3" i="4"/>
  <c r="N3" i="4" s="1"/>
  <c r="M2" i="4"/>
  <c r="L2" i="4"/>
  <c r="K2" i="4"/>
  <c r="J2" i="4"/>
  <c r="I2" i="4"/>
  <c r="H2" i="4"/>
  <c r="N2" i="4" s="1"/>
  <c r="C38" i="2"/>
  <c r="B38" i="2"/>
  <c r="C37" i="2"/>
  <c r="B37" i="2"/>
  <c r="C36" i="2"/>
  <c r="B36" i="2"/>
  <c r="C35" i="2"/>
  <c r="B35" i="2"/>
  <c r="D35" i="2" s="1"/>
  <c r="C34" i="2"/>
  <c r="B34" i="2"/>
  <c r="D33" i="2"/>
  <c r="C33" i="2"/>
  <c r="B33" i="2"/>
  <c r="B22" i="2"/>
  <c r="B19" i="2"/>
  <c r="B18" i="2"/>
  <c r="B17" i="2"/>
  <c r="G14" i="2"/>
  <c r="F14" i="2"/>
  <c r="E14" i="2"/>
  <c r="D14" i="2"/>
  <c r="C14" i="2"/>
  <c r="B14" i="2"/>
  <c r="G13" i="2"/>
  <c r="F13" i="2"/>
  <c r="E13" i="2"/>
  <c r="D13" i="2"/>
  <c r="C13" i="2"/>
  <c r="B13" i="2"/>
  <c r="G8" i="2"/>
  <c r="F8" i="2"/>
  <c r="E8" i="2"/>
  <c r="D8" i="2"/>
  <c r="C8" i="2"/>
  <c r="I8" i="2" s="1"/>
  <c r="B8" i="2"/>
  <c r="H8" i="2" s="1"/>
  <c r="G7" i="2"/>
  <c r="F7" i="2"/>
  <c r="E7" i="2"/>
  <c r="D7" i="2"/>
  <c r="C7" i="2"/>
  <c r="I7" i="2" s="1"/>
  <c r="B7" i="2"/>
  <c r="G6" i="2"/>
  <c r="F6" i="2"/>
  <c r="E6" i="2"/>
  <c r="D6" i="2"/>
  <c r="C6" i="2"/>
  <c r="B6" i="2"/>
  <c r="G5" i="2"/>
  <c r="G9" i="2" s="1"/>
  <c r="F5" i="2"/>
  <c r="F9" i="2" s="1"/>
  <c r="E5" i="2"/>
  <c r="D5" i="2"/>
  <c r="D9" i="2" s="1"/>
  <c r="C5" i="2"/>
  <c r="B5" i="2"/>
  <c r="G4" i="2"/>
  <c r="F4" i="2"/>
  <c r="E4" i="2"/>
  <c r="E9" i="2" s="1"/>
  <c r="D4" i="2"/>
  <c r="C4" i="2"/>
  <c r="I4" i="2" s="1"/>
  <c r="B4" i="2"/>
  <c r="H4" i="2" s="1"/>
  <c r="N9" i="4" l="1"/>
  <c r="N13" i="4"/>
  <c r="N17" i="4"/>
  <c r="N21" i="4"/>
  <c r="N25" i="4"/>
  <c r="N29" i="4"/>
  <c r="N33" i="4"/>
  <c r="N37" i="4"/>
  <c r="N41" i="4"/>
  <c r="H6" i="2"/>
  <c r="D36" i="2"/>
  <c r="N5" i="4"/>
  <c r="I6" i="2"/>
  <c r="D37" i="2"/>
  <c r="N4" i="4"/>
  <c r="N8" i="4"/>
  <c r="N12" i="4"/>
  <c r="N16" i="4"/>
  <c r="N20" i="4"/>
  <c r="N24" i="4"/>
  <c r="N28" i="4"/>
  <c r="N32" i="4"/>
  <c r="N36" i="4"/>
  <c r="N40" i="4"/>
  <c r="H7" i="2"/>
  <c r="H5" i="2"/>
  <c r="B9" i="2"/>
  <c r="H9" i="2" s="1"/>
  <c r="I5" i="2"/>
  <c r="C9" i="2"/>
  <c r="I9" i="2" s="1"/>
  <c r="D34" i="2"/>
  <c r="D38" i="2"/>
  <c r="B23" i="2"/>
  <c r="B24" i="2" s="1"/>
  <c r="O2"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B29" i="2" l="1"/>
  <c r="B28" i="2"/>
  <c r="B27" i="2"/>
  <c r="B26" i="2"/>
  <c r="B25" i="2"/>
</calcChain>
</file>

<file path=xl/sharedStrings.xml><?xml version="1.0" encoding="utf-8"?>
<sst xmlns="http://schemas.openxmlformats.org/spreadsheetml/2006/main" count="2697" uniqueCount="1014">
  <si>
    <t>Capitol Booking System — Requirements Traceability Matrix</t>
  </si>
  <si>
    <t>Project</t>
  </si>
  <si>
    <t>Capitol Booking System (CBS), Vector Four — SS231 G03</t>
  </si>
  <si>
    <t>Source of truth</t>
  </si>
  <si>
    <t>Software Requirements Specification v1.1 (10-6-2026)</t>
  </si>
  <si>
    <t>Test basis</t>
  </si>
  <si>
    <t>docs/qa/manual-test-suite.md on branch test/manual-test-suite (commit f442602)</t>
  </si>
  <si>
    <t>Code baseline</t>
  </si>
  <si>
    <t>main @ 010694c</t>
  </si>
  <si>
    <t>System under test</t>
  </si>
  <si>
    <t>https://capitolrestaurant.up.railway.app</t>
  </si>
  <si>
    <t>Sheets</t>
  </si>
  <si>
    <t>Summary</t>
  </si>
  <si>
    <t>Execution progress, pass rate and requirement coverage. All figures are formulas; do not edit.</t>
  </si>
  <si>
    <t>RTM</t>
  </si>
  <si>
    <t>One row per SRS requirement → linked test cases, findings and a computed verdict (forward and backward traceability).</t>
  </si>
  <si>
    <t>Test Cases</t>
  </si>
  <si>
    <t>All test cases with steps and expected results, plus the execution columns you fill in.</t>
  </si>
  <si>
    <t>Findings</t>
  </si>
  <si>
    <t>SRS-vs-app deviations found during test design (F-01 to F-31), with a defect workflow.</t>
  </si>
  <si>
    <t>Requirement IDs</t>
  </si>
  <si>
    <t>SRS IDs are used as written (REQ-*). The SRS does not number its business rules, flows, user classes or non-functional items, so the RTM assigns IDs (BR-01, SEQ-RES, NFR-SEC-01 …) with the SRS section next to each. BRIEF marks cases that come from the test brief rather than the SRS.</t>
  </si>
  <si>
    <t>How to record a run</t>
  </si>
  <si>
    <t>Cells to edit</t>
  </si>
  <si>
    <t>Only the yellow cells: Test Cases → Status, Actual Result, Defect / Finding ID, Tester, Date Executed, Build / Commit, Remarks; Findings → Status, Owner, Target Date, Resolution Notes. Everything else is reference data or a formula.</t>
  </si>
  <si>
    <t>Status values</t>
  </si>
  <si>
    <t>Not Run · Pass · Fail · Blocked · N/A (drop-down). A case that confirms a known finding is a Fail; put the F-xx in Defect / Finding ID.</t>
  </si>
  <si>
    <t>Outlook column</t>
  </si>
  <si>
    <t>'Known deviation' means code review already predicts a Fail (the case references a finding). 'Expected to pass' means no known issue.</t>
  </si>
  <si>
    <t>30-min subset</t>
  </si>
  <si>
    <t>Test Cases → 30-min = Y marks the time-boxed run (about 28 minutes). Filter on it.</t>
  </si>
  <si>
    <t>Requirement verdict</t>
  </si>
  <si>
    <t>RTM → Verdict is computed: No coverage · Not run · In progress · Fail (any linked case failed) · Pass (all linked cases passed or N/A).</t>
  </si>
  <si>
    <t>Example of a filled row</t>
  </si>
  <si>
    <t>ID FR-02 · Status Fail · Actual Result: 'Guests = 9 accepted, calendar opened' · Defect / Finding ID F-03 · Tester M. Balidio · Date Executed 2026-10-08 · Build / Commit 010694c · Remarks: 'Matches known finding; SRS BR Party Size requires 10–50'</t>
  </si>
  <si>
    <t>Test Execution Summary</t>
  </si>
  <si>
    <t>Suite</t>
  </si>
  <si>
    <t>Total</t>
  </si>
  <si>
    <t>Pass</t>
  </si>
  <si>
    <t>Fail</t>
  </si>
  <si>
    <t>Blocked</t>
  </si>
  <si>
    <t>N/A</t>
  </si>
  <si>
    <t>Not Run</t>
  </si>
  <si>
    <t>Executed %</t>
  </si>
  <si>
    <t>Pass rate</t>
  </si>
  <si>
    <t>Smoke</t>
  </si>
  <si>
    <t>Feature</t>
  </si>
  <si>
    <t>Non-functional</t>
  </si>
  <si>
    <t>Role matrix</t>
  </si>
  <si>
    <t>DB / Security</t>
  </si>
  <si>
    <t>By priority</t>
  </si>
  <si>
    <t>Priority</t>
  </si>
  <si>
    <t>P1</t>
  </si>
  <si>
    <t>P2</t>
  </si>
  <si>
    <t>30-minute subset</t>
  </si>
  <si>
    <t>Cases in subset</t>
  </si>
  <si>
    <t>Executed</t>
  </si>
  <si>
    <t>Failed</t>
  </si>
  <si>
    <t>Requirement coverage</t>
  </si>
  <si>
    <t>Requirements traced</t>
  </si>
  <si>
    <t>With ≥ 1 test case</t>
  </si>
  <si>
    <t>Coverage %</t>
  </si>
  <si>
    <t>Verdict: Pass</t>
  </si>
  <si>
    <t>Verdict: Fail</t>
  </si>
  <si>
    <t>Verdict: In progress</t>
  </si>
  <si>
    <t>Verdict: Not run</t>
  </si>
  <si>
    <t>Verdict: No coverage</t>
  </si>
  <si>
    <t>Status</t>
  </si>
  <si>
    <t>Open</t>
  </si>
  <si>
    <t>In progress</t>
  </si>
  <si>
    <t>Fixed</t>
  </si>
  <si>
    <t>Verified</t>
  </si>
  <si>
    <t>Won't fix</t>
  </si>
  <si>
    <t>SRS to update</t>
  </si>
  <si>
    <t>TC ID</t>
  </si>
  <si>
    <t>Role</t>
  </si>
  <si>
    <t>Precondition</t>
  </si>
  <si>
    <t>Test Steps</t>
  </si>
  <si>
    <t>Expected Result</t>
  </si>
  <si>
    <t>SRS Reference</t>
  </si>
  <si>
    <t>Known Finding</t>
  </si>
  <si>
    <t>Outlook</t>
  </si>
  <si>
    <t>30-min</t>
  </si>
  <si>
    <t>Actual Result</t>
  </si>
  <si>
    <t>Defect / Finding ID</t>
  </si>
  <si>
    <t>Tester</t>
  </si>
  <si>
    <t>Date Executed</t>
  </si>
  <si>
    <t>Build / Commit</t>
  </si>
  <si>
    <t>Remarks</t>
  </si>
  <si>
    <t>S-01</t>
  </si>
  <si>
    <t>Smoke (end-to-end)</t>
  </si>
  <si>
    <t>See steps</t>
  </si>
  <si>
    <t>Accounts and dates from §0 of the suite</t>
  </si>
  <si>
    <t>In a repo checkout run npm run test:roles and then npm run test:booking-time.</t>
  </si>
  <si>
    <t>Output shows roles test passed: 99 checks and booking time test passed: 8 checks.</t>
  </si>
  <si>
    <t>—</t>
  </si>
  <si>
    <t>REQ-ADM-001, BR-01</t>
  </si>
  <si>
    <t>Expected to pass</t>
  </si>
  <si>
    <t>Y</t>
  </si>
  <si>
    <t>S-02</t>
  </si>
  <si>
    <t>Signed out, open /. Click header Catering, then Function Rooms, then Delivery.</t>
  </si>
  <si>
    <t>Each page renders with no error banner. The header shows Sign In / Log In.</t>
  </si>
  <si>
    <t>UR-CUST</t>
  </si>
  <si>
    <t>N</t>
  </si>
  <si>
    <t>S-03</t>
  </si>
  <si>
    <t>Signed out, go to /operations.</t>
  </si>
  <si>
    <t>Redirected to / (no staff UI flashes).</t>
  </si>
  <si>
    <t>REQ-ADM-001</t>
  </si>
  <si>
    <t>S-04</t>
  </si>
  <si>
    <t>Signed out, open /delivery/order. Click Buttered Chicken, add Half ×1, click Done · 1 selected, then click Place order · ₱….</t>
  </si>
  <si>
    <t>The Sign In modal opens. No order is created.</t>
  </si>
  <si>
    <t>S-05</t>
  </si>
  <si>
    <t>In that modal click the Log In tab, enter CUST email and password, and submit.</t>
  </si>
  <si>
    <t>The modal closes and you are signed in as Juan dela Cruz. The cart is kept and the delivery details modal opens automatically with the name prefilled. If it doesn't, click Place order again and log it as a P2 defect.</t>
  </si>
  <si>
    <t>S-06</t>
  </si>
  <si>
    <t>Enter phone 09171234567 and the valid address. Payment: Cash on delivery. Click Place order.</t>
  </si>
  <si>
    <t>The confirmation screen shows the tracking reference CAP-1xxx. Note it as REF-D.</t>
  </si>
  <si>
    <t>REQ-DEL-004, SEQ-DEL</t>
  </si>
  <si>
    <t>S-07</t>
  </si>
  <si>
    <t>Go to /catering/buffet. Select Package A, click Proceed →, pick BUF at 12:00 PM (Guests 10), and confirm.</t>
  </si>
  <si>
    <t>The success panel shows Booking Reference CAP- followed by 16 characters. Note it as REF-B.</t>
  </si>
  <si>
    <t>UR-CUST, BR-01, BRIEF</t>
  </si>
  <si>
    <t>S-08</t>
  </si>
  <si>
    <t>Go to /catering/packed. Add Adobong Manok (defaults to 10 packs), click Proceed, pick BUF at 1:00 PM, and confirm.</t>
  </si>
  <si>
    <t>Success with a CAP-… reference. The summary shows 10 packs, subtotal ₱1,200, Delivery fee ₱0, total ₱1,200. (Packed meals carry no fee in the app; delivery orders carry ₱60.)</t>
  </si>
  <si>
    <t>BRIEF</t>
  </si>
  <si>
    <t>S-09</t>
  </si>
  <si>
    <t>Go to /function-rooms/reserve. Fill Name, 09171234567, email, Guests 20, Birthday Celebration. Click Check Availability →, pick FR at 6:00 PM, and confirm.</t>
  </si>
  <si>
    <t>Success with reference REF-F. Slots before D+2 are disabled.</t>
  </si>
  <si>
    <t>REQ-RES-001, BR-01, BR-02</t>
  </si>
  <si>
    <t>S-10</t>
  </si>
  <si>
    <t>Open /profile.</t>
  </si>
  <si>
    <t>My bookings lists REF-B, the packed booking and REF-F, all Pending. The delivery tracker with REF-D shows Preparing.</t>
  </si>
  <si>
    <t>REQ-DEL-004</t>
  </si>
  <si>
    <t>S-11</t>
  </si>
  <si>
    <t>Go to /inquiries. Name Juan dela Cruz, email, Type Catering, Message Do you cater on Sundays?. Click Submit.</t>
  </si>
  <si>
    <t>Success message "Thank you for your inquiry." plus an AI reply (or the fallback text).</t>
  </si>
  <si>
    <t>REQ-INQ-001, SEQ-INQ</t>
  </si>
  <si>
    <t>S-12</t>
  </si>
  <si>
    <t>Log out (header → logout → confirm). Log in as FOH.</t>
  </si>
  <si>
    <t>You land on /operations. Customer nav links are not shown.</t>
  </si>
  <si>
    <t>S-13</t>
  </si>
  <si>
    <t>On /operations, find REF-F under Function room bookings. Open it, set Status Confirmed, click Save changes, then open the Timeline tab.</t>
  </si>
  <si>
    <t>The row shows Confirmed. The timeline has a new Confirmed entry. Function pending drops by 1.</t>
  </si>
  <si>
    <t>REQ-ADM-002, SEQ-RES</t>
  </si>
  <si>
    <t>S-14</t>
  </si>
  <si>
    <t>On /operations, find the S-11 inquiry in the Inquiries panel (wait up to 10 s).</t>
  </si>
  <si>
    <t>The inquiry is listed (status Resolved because it was auto-answered; see F-07).</t>
  </si>
  <si>
    <t>REQ-ADM-002</t>
  </si>
  <si>
    <t>F-07</t>
  </si>
  <si>
    <t>Known deviation</t>
  </si>
  <si>
    <t>S-15</t>
  </si>
  <si>
    <t>Go to /delivery/staff. On REF-D set Assign rider = Jun Reyes and Change status = Ready for pickup.</t>
  </si>
  <si>
    <t>Both changes save instantly. The Jun Reyes rider card shows 1 active delivery.</t>
  </si>
  <si>
    <t>S-16</t>
  </si>
  <si>
    <t>Go to /inquiry-bot.</t>
  </si>
  <si>
    <t>The page loads with the Needs reply filter active, showing a list or "No Messenger inquiries yet."</t>
  </si>
  <si>
    <t>REQ-INQ-002</t>
  </si>
  <si>
    <t>S-17</t>
  </si>
  <si>
    <t>Log out. Log in as RIDER.</t>
  </si>
  <si>
    <t>You land on /delivery/rider. The header shows Jun Reyes. REF-D appears with the Start delivery button.</t>
  </si>
  <si>
    <t>UR-RIDER</t>
  </si>
  <si>
    <t>S-18</t>
  </si>
  <si>
    <t>Click Start delivery, then Mark delivered. Then go to /operations.</t>
  </si>
  <si>
    <t>Status goes Out for delivery → Delivered. /operations redirects back to /delivery/rider. (The SRS limits riders to setting Delivered; Start delivery is a known deviation → F-25.)</t>
  </si>
  <si>
    <t>UR-RIDER, REQ-ADM-001</t>
  </si>
  <si>
    <t>F-25</t>
  </si>
  <si>
    <t>S-19</t>
  </si>
  <si>
    <t>Log out. Log in as CUST, open /profile, and search REF-D in the tracker.</t>
  </si>
  <si>
    <t>The tracker shows Delivered with all four steps complete.</t>
  </si>
  <si>
    <t>S-20</t>
  </si>
  <si>
    <t>curl -s -o /dev/null -w '%{http_code}' 'https://capitolrestaurant.up.railway.app/inquiry-bot?hub.mode=subscribe&amp;hub.verify_token=WRONG&amp;hub.challenge=42'</t>
  </si>
  <si>
    <t>403</t>
  </si>
  <si>
    <t>REQ-INQ-002, CON-01</t>
  </si>
  <si>
    <t>AU-01</t>
  </si>
  <si>
    <t>Auth &amp; access</t>
  </si>
  <si>
    <t>Guest</t>
  </si>
  <si>
    <t>New email never used</t>
  </si>
  <si>
    <t>Header → Sign In / Log In → Sign In tab → enter qa.new+1@&lt;domain&gt; → Email me a magic link → open the email → click the link</t>
  </si>
  <si>
    <t>Back on the site, signed in. A profiles row exists with role = customer and display name = email local-part</t>
  </si>
  <si>
    <t>§5.3 Auth, REQ-ADM-001</t>
  </si>
  <si>
    <t>REQ-ADM-001, NFR-SEC-02</t>
  </si>
  <si>
    <t>AU-02</t>
  </si>
  <si>
    <t>CUST</t>
  </si>
  <si>
    <t>Log In tab → correct email + wrong password → submit</t>
  </si>
  <si>
    <t>Inline error (Invalid login credentials), modal stays open, not signed in</t>
  </si>
  <si>
    <t>§5.3</t>
  </si>
  <si>
    <t>NFR-SEC-02</t>
  </si>
  <si>
    <t>AU-03</t>
  </si>
  <si>
    <t>Google account</t>
  </si>
  <si>
    <t>Sign In tab → Google button → choose account</t>
  </si>
  <si>
    <t>Redirected back to the original page, signed in as customer</t>
  </si>
  <si>
    <t>AU-04</t>
  </si>
  <si>
    <t>Log In tab → blank email → submit. Then email juan@ with any password</t>
  </si>
  <si>
    <t>"Enter your email address", then an inline error from Supabase. Not signed in</t>
  </si>
  <si>
    <t>AU-05</t>
  </si>
  <si>
    <t>FOH</t>
  </si>
  <si>
    <t>Signed out</t>
  </si>
  <si>
    <t>Log In as FOH from /catering</t>
  </si>
  <si>
    <t>Redirected to /operations (role home)</t>
  </si>
  <si>
    <t>AU-06</t>
  </si>
  <si>
    <t>RIDER</t>
  </si>
  <si>
    <t>Log In as RIDER from /</t>
  </si>
  <si>
    <t>Redirected to /delivery/rider</t>
  </si>
  <si>
    <t>§2.3 Delivery Rider</t>
  </si>
  <si>
    <t>AU-07</t>
  </si>
  <si>
    <t>Signed in</t>
  </si>
  <si>
    <t>Header → logout icon → Cancel, then logout → confirm</t>
  </si>
  <si>
    <t>Cancel keeps the session. Confirm signs out and navigates to /. Visiting /profile then shows "Sign in to view and manage your profile details."</t>
  </si>
  <si>
    <t>AU-08</t>
  </si>
  <si>
    <t>any</t>
  </si>
  <si>
    <t>Hard-refresh (Ctrl+Shift+R) on a guarded page</t>
  </si>
  <si>
    <t>Loading account... then the same page. No redirect flicker to /</t>
  </si>
  <si>
    <t>AU-09</t>
  </si>
  <si>
    <t>Self-signup: confirm that metadata cannot grant a staff role (covered by supabase/tests/roles_permissions.sql). Manual alternative: sign up via magic link and read the profiles.role value</t>
  </si>
  <si>
    <t>role = customer</t>
  </si>
  <si>
    <t>AU-10</t>
  </si>
  <si>
    <t>Throwaway user with no profiles row</t>
  </si>
  <si>
    <t>Delete the throwaway user's profiles row (an invalid role can't be set because of the check constraint)</t>
  </si>
  <si>
    <t>Log in as that user</t>
  </si>
  <si>
    <t>"Account access unavailable" page, no data shown</t>
  </si>
  <si>
    <t>AU-11</t>
  </si>
  <si>
    <t>List every self-service way to create an account (Sign In tab: magic link, Google). For each, check whether the account becomes usable only after the email is proven (link clicked / Google-verified). Then in Supabase → Authentication → Users, confirm the new user has email_confirmed_at set</t>
  </si>
  <si>
    <t>Every self-signup path verifies the email before a session exists. No path creates a signed-in, unverified account</t>
  </si>
  <si>
    <t>§5.3 (customers must verify via email)</t>
  </si>
  <si>
    <t>CT-01</t>
  </si>
  <si>
    <t>Catering</t>
  </si>
  <si>
    <t>/catering/buffet → select Package B → Proceed →</t>
  </si>
  <si>
    <t>Sign-in modal opens. Calendar does not open</t>
  </si>
  <si>
    <t>§2.3 (sign-in required for booking)</t>
  </si>
  <si>
    <t>CT-02</t>
  </si>
  <si>
    <t>/catering/buffet without selecting a package</t>
  </si>
  <si>
    <t>Proceed → disabled; prompt "Please select a package to continue."</t>
  </si>
  <si>
    <t>CT-03</t>
  </si>
  <si>
    <t>Buffet → Package A → Proceed → navigate the calendar to the current month</t>
  </si>
  <si>
    <t>Today and D+1 are disabled. D+2 is enabled. Note "Reservations must be made at least 2 days in advance."</t>
  </si>
  <si>
    <t>BR Lead Time</t>
  </si>
  <si>
    <t>BR-01</t>
  </si>
  <si>
    <t>CT-04</t>
  </si>
  <si>
    <t>Buffet → Package A → Proceed → open the time dropdown</t>
  </si>
  <si>
    <t>Exactly 22 options, 9:00 AM … 7:30 PM, in 30-min steps. No 8:00 PM</t>
  </si>
  <si>
    <t>— (brief: 09:00–19:30, 30-min slots)</t>
  </si>
  <si>
    <t>CT-05</t>
  </si>
  <si>
    <t>Buffet modal: Guests 9, then 13 → confirm</t>
  </si>
  <si>
    <t>Validation error (min. 10, max. 12). Not submitted</t>
  </si>
  <si>
    <t>— (package rule, catalog minPax/maxPax)</t>
  </si>
  <si>
    <t>CT-06</t>
  </si>
  <si>
    <t>Buffet modal: Contact 0917123456 → confirm</t>
  </si>
  <si>
    <t>Phone error. Not submitted</t>
  </si>
  <si>
    <t>CT-07</t>
  </si>
  <si>
    <t>/catering/packed → add Lechon Kawali → click − once (9 packs)</t>
  </si>
  <si>
    <t>Error "Each meal type requires at least 10 packs."; Proceed disabled. Pressing + back to 10 re-enables it</t>
  </si>
  <si>
    <t>— (packed-meal guideline)</t>
  </si>
  <si>
    <t>CT-08</t>
  </si>
  <si>
    <t>Packed: add Adobong Manok and Lechon Kawali at 10 each</t>
  </si>
  <si>
    <t>Subtotal ₱2,650 (10 × ₱120 + 10 × ₱145), Delivery fee ₱0, Total ₱2,650. The fee is hard-coded to 0 for packed meals (CateringPacked.tsx:59); the catalog fee of ₱60 applies only to delivery orders. Confirm with the PO that this is intended</t>
  </si>
  <si>
    <t>— (packed-meal pricing)</t>
  </si>
  <si>
    <t>CT-09</t>
  </si>
  <si>
    <t>CUST + CUST-B</t>
  </si>
  <si>
    <t>Both on Buffet modal, BrA and BrB, same date COL</t>
  </si>
  <si>
    <t>Both pick 10:00 AM. CUST confirms first, then CUST-B confirms</t>
  </si>
  <si>
    <t>CUST succeeds. CUST-B gets "That time was just booked. Choose another available time." and the 10:00 AM option becomes disabled</t>
  </si>
  <si>
    <t>REQ-RES-002 (same mechanism), §4.2.2 step 5</t>
  </si>
  <si>
    <t>REQ-RES-002, SEQ-RES</t>
  </si>
  <si>
    <t>CT-10</t>
  </si>
  <si>
    <t>A buffet booking exists at BUF 12:00 PM</t>
  </si>
  <si>
    <t>Packed booking at BUF 12:00 PM</t>
  </si>
  <si>
    <t>Succeeds: buffet and packed have separate slot inventories (kind is part of the unique key)</t>
  </si>
  <si>
    <t>— (confirm the intended behavior with the PO)</t>
  </si>
  <si>
    <t>CT-11</t>
  </si>
  <si>
    <t>Buffet modal → Name &lt;script&gt;alert(1)&lt;/script&gt;. Then, on /function-rooms/reserve, put the same string in Special Requests and book. Open the booking as FOH</t>
  </si>
  <si>
    <t>The name is rejected. Special Requests is saved and rendered as plain text in Operations (no alert)</t>
  </si>
  <si>
    <t>§5.2 Input sanitization</t>
  </si>
  <si>
    <t>NFR-SAFE-01</t>
  </si>
  <si>
    <t>CT-12</t>
  </si>
  <si>
    <t>Booking just created</t>
  </si>
  <si>
    <t>Open /profile</t>
  </si>
  <si>
    <t>The booking shows package, date/time, Pending and a timeline with Pending</t>
  </si>
  <si>
    <t>FR-01</t>
  </si>
  <si>
    <t>Function rooms</t>
  </si>
  <si>
    <t>/function-rooms/reserve → leave every field blank → Check Availability →</t>
  </si>
  <si>
    <t>Errors on Name, Contact, Email, Guests and Event Type. Calendar does not open</t>
  </si>
  <si>
    <t>§5.4 Usability</t>
  </si>
  <si>
    <t>NFR-USE-01</t>
  </si>
  <si>
    <t>FR-02</t>
  </si>
  <si>
    <t>Guests 9 with all other fields valid → Check Availability</t>
  </si>
  <si>
    <t>SRS expects rejection (min 10). The app accepts (min 1) → log F-03</t>
  </si>
  <si>
    <t>BR Party Size</t>
  </si>
  <si>
    <t>BR-02</t>
  </si>
  <si>
    <t>F-03</t>
  </si>
  <si>
    <t>FR-03</t>
  </si>
  <si>
    <t>Guests 31, then 50</t>
  </si>
  <si>
    <t>SRS expects 50 to be accepted. The app rejects anything above 30 ("This room holds up to 30 guests") → F-03</t>
  </si>
  <si>
    <t>FR-04</t>
  </si>
  <si>
    <t>Guests 10, then 30 (boundaries)</t>
  </si>
  <si>
    <t>Both accepted</t>
  </si>
  <si>
    <t>FR-05</t>
  </si>
  <si>
    <t>Open Event Type</t>
  </si>
  <si>
    <t>Options: Birthday Celebration, Debut / 18th Birthday, Wedding Reception, Corporate Event, Family Reunion, Christmas Party, Seminar / Conference, Other</t>
  </si>
  <si>
    <t>§5.4</t>
  </si>
  <si>
    <t>FR-06</t>
  </si>
  <si>
    <t>Contact +639171234567</t>
  </si>
  <si>
    <t>Accepted (CONTACT_REGEX allows +639). Compare with DO-05 (delivery rejects it) → F-19</t>
  </si>
  <si>
    <t>F-19</t>
  </si>
  <si>
    <t>FR-07</t>
  </si>
  <si>
    <t>Valid form → calendar → try clicking D+1 and then D+2 at 9:00 AM</t>
  </si>
  <si>
    <t>D+1 is not selectable. D+2 is bookable and succeeds</t>
  </si>
  <si>
    <t>FR-08</t>
  </si>
  <si>
    <t>Both on the calendar for COL, BrA and BrB</t>
  </si>
  <si>
    <t>Both pick 2:00 PM. Confirm in A, then in B within 5 s</t>
  </si>
  <si>
    <t>A succeeds. B gets "That time was just booked…". In B, without a refresh, 2:00 PM is greyed out (Realtime)</t>
  </si>
  <si>
    <t>REQ-RES-001, REQ-RES-002, §4.2.2-5</t>
  </si>
  <si>
    <t>REQ-RES-001, REQ-RES-002, SEQ-RES</t>
  </si>
  <si>
    <t>FR-09</t>
  </si>
  <si>
    <t>All 22 slots of a date taken (do it on staging, or reuse the DB-08 script)</t>
  </si>
  <si>
    <t>Open the calendar</t>
  </si>
  <si>
    <t>That date is shown as reserved/disabled</t>
  </si>
  <si>
    <t>REQ-RES-001</t>
  </si>
  <si>
    <t>FR-10</t>
  </si>
  <si>
    <t>Look for the deposit amount or a payment step before confirmation</t>
  </si>
  <si>
    <t>SRS: deposit via payment gateway, slot locked for 10 min. App: none; the booking goes straight to Pending → F-04 / F-05</t>
  </si>
  <si>
    <t>REQ-RES-003, REQ-RES-005</t>
  </si>
  <si>
    <t>F-04, F-05</t>
  </si>
  <si>
    <t>FR-11</t>
  </si>
  <si>
    <t>Booking at COL 2:00 PM exists</t>
  </si>
  <si>
    <t>/operations → open the booking → Status Cancelled → Save. As CUST-B, retry COL 2:00 PM</t>
  </si>
  <si>
    <t>The slot is released and CUST-B's booking succeeds</t>
  </si>
  <si>
    <t>REQ-RES-001, §4.2.2-5</t>
  </si>
  <si>
    <t>REQ-RES-001, SEQ-RES</t>
  </si>
  <si>
    <t>FR-12</t>
  </si>
  <si>
    <t>Booking confirmation email</t>
  </si>
  <si>
    <t>Look for a cancellation link in email</t>
  </si>
  <si>
    <t>SRS: self-cancel link up to 2 days before. App: no email or link → F-06</t>
  </si>
  <si>
    <t>BR Cancellation, §3.3 SMTP</t>
  </si>
  <si>
    <t>BR-04, IF-SW-01</t>
  </si>
  <si>
    <t>F-06</t>
  </si>
  <si>
    <t>FR-13</t>
  </si>
  <si>
    <t>Look for a way to block out a date (maintenance)</t>
  </si>
  <si>
    <t>SRS: manager blockout. App: reserved_dates is read-only in the UI; it can only be changed in the DB → F-14</t>
  </si>
  <si>
    <t>REQ-RES-004</t>
  </si>
  <si>
    <t>F-14</t>
  </si>
  <si>
    <t>FR-14</t>
  </si>
  <si>
    <t>Check the booking form for a privacy consent checkbox</t>
  </si>
  <si>
    <t>SRS: explicit consent checkbox. App: none → F-15</t>
  </si>
  <si>
    <t>§5.3 Data Privacy</t>
  </si>
  <si>
    <t>NFR-SEC-01</t>
  </si>
  <si>
    <t>F-15</t>
  </si>
  <si>
    <t>FR-15</t>
  </si>
  <si>
    <t>CUST + FOH</t>
  </si>
  <si>
    <t>Book any slot. Note the status shown on the success panel and in /operations. Look for a duration field on the form or calendar. Repeat FR-08 and read the collision message</t>
  </si>
  <si>
    <t>SRS: the customer chooses a duration; the status is Pending Deposit until paid; collisions show "Already Reserved". App: no duration (fixed slot); status Pending; message "That time was just booked…" → F-28</t>
  </si>
  <si>
    <t>§4.2.2-1, -4, -5</t>
  </si>
  <si>
    <t>SEQ-RES</t>
  </si>
  <si>
    <t>F-28</t>
  </si>
  <si>
    <t>FR-16</t>
  </si>
  <si>
    <t>A past or same-day booking exists</t>
  </si>
  <si>
    <t>/operations → open the booking → look for a way to mark it Late cancellation or No-show</t>
  </si>
  <si>
    <t>SRS: staff can flag late cancellations and no-shows. App: the status list is Pending / Confirmed / Completed / Cancelled; there is no late-cancellation or no-show flag → F-29</t>
  </si>
  <si>
    <t>BR Cancellation</t>
  </si>
  <si>
    <t>BR-04</t>
  </si>
  <si>
    <t>F-29</t>
  </si>
  <si>
    <t>DO-01</t>
  </si>
  <si>
    <t>Delivery (customer)</t>
  </si>
  <si>
    <t>/delivery/order → category chips All, Chicken, Pancit sa Bilao</t>
  </si>
  <si>
    <t>Items filter by category. Bilao items appear as one card per group (e.g. Bihon Bilao)</t>
  </si>
  <si>
    <t>REQ-DEL-001</t>
  </si>
  <si>
    <t>DO-02</t>
  </si>
  <si>
    <t>Click Bihon Bilao → variant modal → add XS (3–5 pax) ×1 and Large (18–20 pax) ×2 → Done · 3 selected</t>
  </si>
  <si>
    <t>Cart has 2 lines: ₱430 ×1 and ₱950 ×2. Subtotal ₱2,330 + ₱60 fee = ₱2,390</t>
  </si>
  <si>
    <t>REQ-DEL-002</t>
  </si>
  <si>
    <t>DO-03</t>
  </si>
  <si>
    <t>Fried Chicken → Half / Whole picker</t>
  </si>
  <si>
    <t>Both variants are listed with their own prices. Done is disabled until quantity ≥ 1</t>
  </si>
  <si>
    <t>DO-04</t>
  </si>
  <si>
    <t>Increase one item up to the max</t>
  </si>
  <si>
    <t>+ disables at 20 (MAX_QUANTITY_PER_ITEM)</t>
  </si>
  <si>
    <t>DO-05</t>
  </si>
  <si>
    <t>Cart not empty</t>
  </si>
  <si>
    <t>Details modal: phone 0917123456, then 08171234567, then +639171234567</t>
  </si>
  <si>
    <t>Each one is rejected with "Enter an 11-digit number starting with 09"</t>
  </si>
  <si>
    <t>DO-06</t>
  </si>
  <si>
    <t>Details: address "   "</t>
  </si>
  <si>
    <t>"Delivery address is required"</t>
  </si>
  <si>
    <t>§4.3.2-2</t>
  </si>
  <si>
    <t>SEQ-DEL</t>
  </si>
  <si>
    <t>DO-07</t>
  </si>
  <si>
    <t>Cart empty</t>
  </si>
  <si>
    <t>Click Place order</t>
  </si>
  <si>
    <t>"Select at least one item to order"; no modal</t>
  </si>
  <si>
    <t>DO-08</t>
  </si>
  <si>
    <t>Place a valid order. Note the reference. Then open BrB, log in as CUST, go to /profile and search the same reference</t>
  </si>
  <si>
    <t>SRS expects the order to be visible on any device. The app shows "We could not find that reference." in BrB → F-01</t>
  </si>
  <si>
    <t>F-01</t>
  </si>
  <si>
    <t>DO-09</t>
  </si>
  <si>
    <t>Two different browsers, both with clean storage</t>
  </si>
  <si>
    <t>Each places one order</t>
  </si>
  <si>
    <t>Expected: unique references. App: both get the same CAP-10xx (client-side counter) → F-02</t>
  </si>
  <si>
    <t>F-02</t>
  </si>
  <si>
    <t>DO-10</t>
  </si>
  <si>
    <t>Payment method options</t>
  </si>
  <si>
    <t>Cash on delivery / GCash / Card. No gateway step happens for GCash or Card, and the SRS names PayMaya, which the app does not offer → F-04</t>
  </si>
  <si>
    <t>REQ-DEL-003</t>
  </si>
  <si>
    <t>F-04</t>
  </si>
  <si>
    <t>DO-11</t>
  </si>
  <si>
    <t>Order placed</t>
  </si>
  <si>
    <t>Confirmation → Track this order</t>
  </si>
  <si>
    <t>Opens /profile?reference=CAP-… with the order prefilled and status Preparing</t>
  </si>
  <si>
    <t>DO-12</t>
  </si>
  <si>
    <t>Search the menu for zzz</t>
  </si>
  <si>
    <t>Empty state, no crash</t>
  </si>
  <si>
    <t>DO-13</t>
  </si>
  <si>
    <t>/delivery/order → open 3 items from different categories (e.g. Buttered Chicken, Bihon Bilao, a Kabayo item)</t>
  </si>
  <si>
    <t>Each shows a category, a price and a description. Photos: items without one show the "No image available" placeholder (count them). SRS: allergen/dietary tags. App: none → F-23</t>
  </si>
  <si>
    <t>F-23</t>
  </si>
  <si>
    <t>DO-14</t>
  </si>
  <si>
    <t>Cart has 2 different items</t>
  </si>
  <si>
    <t>Look for a per-item note (e.g. "no onions" on one dish). Then open the details modal and use Notes (optional)</t>
  </si>
  <si>
    <t>SRS: customisation notes per item. App: only one order-level Notes field; it is saved with the order and shown to staff in the order detail → F-24 (partial)</t>
  </si>
  <si>
    <t>REQ-DEL-002, §4.3.2-1</t>
  </si>
  <si>
    <t>REQ-DEL-002, SEQ-DEL</t>
  </si>
  <si>
    <t>F-24</t>
  </si>
  <si>
    <t>DS-01</t>
  </si>
  <si>
    <t>Delivery staff &amp; rider</t>
  </si>
  <si>
    <t>Order REF-D in BrA</t>
  </si>
  <si>
    <t>/delivery/staff → status chips → Preparing</t>
  </si>
  <si>
    <t>The list filters, and counts match</t>
  </si>
  <si>
    <t>REQ-DEL-004, REQ-ADM-002</t>
  </si>
  <si>
    <t>DS-02</t>
  </si>
  <si>
    <t>REF-D → Change status → Out for delivery. Then, as CUST in the same browser, open the profile tracker</t>
  </si>
  <si>
    <t>The tracker shows Out for delivery</t>
  </si>
  <si>
    <t>DS-03</t>
  </si>
  <si>
    <t>Add rider: name Jun Reyes (duplicate)</t>
  </si>
  <si>
    <t>"A rider with this name already exists"</t>
  </si>
  <si>
    <t>DS-04</t>
  </si>
  <si>
    <t>Add rider Ana Lim / 09181112222 → assign her to an order → delete her</t>
  </si>
  <si>
    <t>The order shows Unassigned again</t>
  </si>
  <si>
    <t>DS-05</t>
  </si>
  <si>
    <t>/delivery/items → Manage categories → hide Kabayo → open /delivery/order as CUST in the same browser</t>
  </si>
  <si>
    <t>Kabayo items are hidden from the customer menu</t>
  </si>
  <si>
    <t>REQ-ADM-003</t>
  </si>
  <si>
    <t>DS-06</t>
  </si>
  <si>
    <t>DS-05 done</t>
  </si>
  <si>
    <t>Open /delivery/order in BrB</t>
  </si>
  <si>
    <t>SRS expects the change on the public storefront. Kabayo is still visible in BrB (localStorage only) → F-09</t>
  </si>
  <si>
    <t>REQ-ADM-003, §4.4.2-4</t>
  </si>
  <si>
    <t>REQ-ADM-003, SEQ-ADM</t>
  </si>
  <si>
    <t>F-09</t>
  </si>
  <si>
    <t>DS-07</t>
  </si>
  <si>
    <t>Add item QA Pancit / price 0</t>
  </si>
  <si>
    <t>Validation rejects the price</t>
  </si>
  <si>
    <t>DS-08</t>
  </si>
  <si>
    <t>Open /delivery/items as FOH</t>
  </si>
  <si>
    <t>SRS: only Manager and Admin may change menu and prices. App: FOH has full edit access → F-08</t>
  </si>
  <si>
    <t>BR Menu &amp; Pricing Authority</t>
  </si>
  <si>
    <t>BR-03</t>
  </si>
  <si>
    <t>F-08</t>
  </si>
  <si>
    <t>DS-09</t>
  </si>
  <si>
    <t>Order assigned to Jun Reyes, status Preparing</t>
  </si>
  <si>
    <t>/delivery/rider</t>
  </si>
  <si>
    <t>The order is listed with no action button (rider actions start at Ready for pickup)</t>
  </si>
  <si>
    <t>§2.3 Rider</t>
  </si>
  <si>
    <t>DS-10</t>
  </si>
  <si>
    <t>Status filter chips</t>
  </si>
  <si>
    <t>The counts for Out for delivery and Delivered match the list</t>
  </si>
  <si>
    <t>DS-11</t>
  </si>
  <si>
    <t>RIDER (display name not a rider record, e.g. QA Rider)</t>
  </si>
  <si>
    <t>Open /delivery/rider</t>
  </si>
  <si>
    <t>Expected: "No rider record assigned". App: falls back to the first rider (Jun Reyes) and shows their orders → F-13</t>
  </si>
  <si>
    <t>§2.3 (assigned orders only)</t>
  </si>
  <si>
    <t>F-13</t>
  </si>
  <si>
    <t>DS-12</t>
  </si>
  <si>
    <t>No orders assigned</t>
  </si>
  <si>
    <t>Open the page</t>
  </si>
  <si>
    <t>An empty state is shown, not an error</t>
  </si>
  <si>
    <t>DS-13</t>
  </si>
  <si>
    <t>Order assigned to Jun Reyes, status Ready for pickup</t>
  </si>
  <si>
    <t>/delivery/rider → list the actions offered</t>
  </si>
  <si>
    <t>SRS: the rider may only set Delivered. App: the rider can also move Ready for pickup → Out for delivery (Start delivery) → F-25</t>
  </si>
  <si>
    <t>DS-14</t>
  </si>
  <si>
    <t>/delivery/staff open in BrA with sound on</t>
  </si>
  <si>
    <t>In another tab of BrA (same profile, see F-01), CUST places a new order. Return to the staff tab</t>
  </si>
  <si>
    <t>SRS: an audible chime plus the new order docket, without a refresh. App: no sound, and the order appears only after a manual reload (no polling or storage listener on /delivery/staff) → F-26</t>
  </si>
  <si>
    <t>§4.3.2-4, §3.1 alerts</t>
  </si>
  <si>
    <t>IF-UI-01, SEQ-DEL</t>
  </si>
  <si>
    <t>F-01, F-26</t>
  </si>
  <si>
    <t>IQ-01</t>
  </si>
  <si>
    <t>Inquiries</t>
  </si>
  <si>
    <t>Guest (signed out)</t>
  </si>
  <si>
    <t>/inquiries → submit a valid General Question</t>
  </si>
  <si>
    <t>SRS: sign-in required (REQ-INQ-001). App: accepted from a guest, user_id = null → F-07</t>
  </si>
  <si>
    <t>REQ-INQ-001, §2.3</t>
  </si>
  <si>
    <t>REQ-INQ-001, UR-CUST</t>
  </si>
  <si>
    <t>IQ-02</t>
  </si>
  <si>
    <t>Submit with an empty Message</t>
  </si>
  <si>
    <t>Browser required validation blocks the submit</t>
  </si>
  <si>
    <t>REQ-INQ-001</t>
  </si>
  <si>
    <t>IQ-03</t>
  </si>
  <si>
    <t>Run curl -X POST $SITE/inquiries -H 'Content-Type: application/json' -d '{"name":"a","email":"bad","type":"x","message":"y"}'</t>
  </si>
  <si>
    <t>HTTP 400 "Please provide a valid name, email, inquiry type, and message."</t>
  </si>
  <si>
    <t>IQ-04</t>
  </si>
  <si>
    <t>Type Delivery, message I would like to order 20 packs of Adobong Manok for Friday</t>
  </si>
  <si>
    <t>Success "Your request was sent to our staff.". The DB row has type = Manual Order Request, status = New</t>
  </si>
  <si>
    <t>REQ-INQ-001, §4.1.2-2</t>
  </si>
  <si>
    <t>IQ-05</t>
  </si>
  <si>
    <t>IQ-04 done</t>
  </si>
  <si>
    <t>/operations → Inquiries panel (wait ≤ 10 s, no refresh)</t>
  </si>
  <si>
    <t>The row appears with the Manual reply needed badge. New inquiries is incremented. (Arrives by 10-s polling; the SRS asks for push → F-27)</t>
  </si>
  <si>
    <t>REQ-ADM-002, §3.1 alerts, §3.4</t>
  </si>
  <si>
    <t>REQ-ADM-002, IF-UI-01, IF-COM-01</t>
  </si>
  <si>
    <t>F-27</t>
  </si>
  <si>
    <t>IQ-06</t>
  </si>
  <si>
    <t>Set the status → In progress, then Resolved. Refresh the page</t>
  </si>
  <si>
    <t>The status persists after the refresh. The badge disappears after leaving New</t>
  </si>
  <si>
    <t>REQ-INQ-004, §4.1.2-5</t>
  </si>
  <si>
    <t>REQ-INQ-004, SEQ-INQ</t>
  </si>
  <si>
    <t>IQ-07</t>
  </si>
  <si>
    <t>Informational inquiry What time do you open?</t>
  </si>
  <si>
    <t>Reply shown in about 30 s or less. The DB row status is Resolved immediately. SRS says it is created as New → F-07</t>
  </si>
  <si>
    <t>§4.1.2-2/3</t>
  </si>
  <si>
    <t>SEQ-INQ</t>
  </si>
  <si>
    <t>IQ-08</t>
  </si>
  <si>
    <t>No inquiries (staging)</t>
  </si>
  <si>
    <t>Open the Inquiries panel</t>
  </si>
  <si>
    <t>Empty state text, no spinner stuck</t>
  </si>
  <si>
    <t>IB-01</t>
  </si>
  <si>
    <t>Inquiry Bot</t>
  </si>
  <si>
    <t>≥ 1 Messenger question the bot could not answer (send Do you have halal certification? to the Page from a test FB account)</t>
  </si>
  <si>
    <t>Open /inquiry-bot</t>
  </si>
  <si>
    <t>The item appears under Needs reply (type Unanswered Question, status New) within 10 s</t>
  </si>
  <si>
    <t>IB-02</t>
  </si>
  <si>
    <t>Chips Needs reply / Requests / Resolved / All, plus the type dropdown</t>
  </si>
  <si>
    <t>Counts on the chips match the lists. Type filter narrows further. "No inquiries match these filters." when empty</t>
  </si>
  <si>
    <t>IB-03</t>
  </si>
  <si>
    <t>Search halal</t>
  </si>
  <si>
    <t>Only matching cards remain</t>
  </si>
  <si>
    <t>IB-04</t>
  </si>
  <si>
    <t>IB-01, within 24 h of the customer's message</t>
  </si>
  <si>
    <t>Reply on Messenger → type Yes, we are halal-friendly. — Capitol → Send</t>
  </si>
  <si>
    <t>Success banner. The test FB account receives the message. The card becomes Resolved with the reply text and time. The button now reads Reply again</t>
  </si>
  <si>
    <t>REQ-INQ-004</t>
  </si>
  <si>
    <t>IB-05</t>
  </si>
  <si>
    <t>A Messenger inquiry whose customer last wrote more than 24 h ago (prepare one the day before)</t>
  </si>
  <si>
    <t>Reply on Messenger → Send</t>
  </si>
  <si>
    <t>Error banner "Messenger did not accept the reply. Facebook only allows Page replies within 24 hours…". Status is unchanged</t>
  </si>
  <si>
    <t>IB-06</t>
  </si>
  <si>
    <t>New inquiry</t>
  </si>
  <si>
    <t>Mark in progress → Mark resolved → Reopen</t>
  </si>
  <si>
    <t>New → In progress → Resolved → In progress. Each change persists after a refresh</t>
  </si>
  <si>
    <t>IB-07</t>
  </si>
  <si>
    <t>Open the reply modal with an empty text</t>
  </si>
  <si>
    <t>Send disabled</t>
  </si>
  <si>
    <t>IB-08</t>
  </si>
  <si>
    <t>Look for the AI-drafted reply next to the inquiry</t>
  </si>
  <si>
    <t>SRS: AI draft shown and editable before sending. App: no draft; staff types from scratch → F-10</t>
  </si>
  <si>
    <t>REQ-INQ-003</t>
  </si>
  <si>
    <t>F-10</t>
  </si>
  <si>
    <t>IB-09</t>
  </si>
  <si>
    <t>curl -X PATCH $SITE/inquiries/&lt;id&gt;/status -H 'Content-Type: application/json' -d '{"status":"Resolved"}' (no token), then repeat with a CUST JWT in Authorization: Bearer</t>
  </si>
  <si>
    <t>401 Sign in required., then 403 Only staff, managers, or admins…</t>
  </si>
  <si>
    <t>MA-01</t>
  </si>
  <si>
    <t>Messenger AI agent</t>
  </si>
  <si>
    <t>VERIFY_TOKEN from Railway variables</t>
  </si>
  <si>
    <t>curl '$SITE/inquiry-bot?hub.mode=subscribe&amp;hub.verify_token=&lt;TOKEN&gt;&amp;hub.challenge=4242'</t>
  </si>
  <si>
    <t>200, body 4242</t>
  </si>
  <si>
    <t>MA-02</t>
  </si>
  <si>
    <t>Same with the wrong token / no hub.mode</t>
  </si>
  <si>
    <t>403 / the SPA HTML (staff page)</t>
  </si>
  <si>
    <t>MA-03</t>
  </si>
  <si>
    <t>Test FB user</t>
  </si>
  <si>
    <t>Send hi to the Page</t>
  </si>
  <si>
    <t>Greeting plus quick replies: Function Room, Catering, Delivery</t>
  </si>
  <si>
    <t>§4.1.2-3 (ack ≤ 30 s)</t>
  </si>
  <si>
    <t>MA-04</t>
  </si>
  <si>
    <t>Tap Catering → reply with the requested details (name, 09171234567, event, date, guests, package)</t>
  </si>
  <si>
    <t>The bot confirms the request. A row appears on /inquiry-bot under Requests with type Catering. messenger_sessions holds the PSID with a state/draft while the form is in progress</t>
  </si>
  <si>
    <t>MA-05</t>
  </si>
  <si>
    <t>Send What is the capital of France?</t>
  </si>
  <si>
    <t>Off-topic message. No inquiry row is created</t>
  </si>
  <si>
    <t>MA-06</t>
  </si>
  <si>
    <t>Ask something not in the known facts (Do you accept pets?)</t>
  </si>
  <si>
    <t>Handover message ("Our staff will review…"). The row type is Unanswered Question, status New</t>
  </si>
  <si>
    <t>REQ-INQ-002, §4.1.2-4</t>
  </si>
  <si>
    <t>REQ-INQ-002, SEQ-INQ</t>
  </si>
  <si>
    <t>MA-07</t>
  </si>
  <si>
    <t>Send I want to order 2 Buttered Chicken</t>
  </si>
  <si>
    <t>The bot says it cannot take orders in chat and links the website. No delivery_orders row (source = messenger) is created. This differs from the brief, which expects Messenger orders → F-11</t>
  </si>
  <si>
    <t>— (brief vs app)</t>
  </si>
  <si>
    <t>F-11</t>
  </si>
  <si>
    <t>MA-08</t>
  </si>
  <si>
    <t>Send a sticker/photo</t>
  </si>
  <si>
    <t>"I can only read text…"</t>
  </si>
  <si>
    <t>MA-09</t>
  </si>
  <si>
    <t>Send 3 messages within 2 s</t>
  </si>
  <si>
    <t>Replies come in order, and no draft is lost (per-sender queue)</t>
  </si>
  <si>
    <t>PR-01</t>
  </si>
  <si>
    <t>Profile</t>
  </si>
  <si>
    <t>"Sign in to view and manage your profile details." plus a sign-in button. No data</t>
  </si>
  <si>
    <t>PR-02</t>
  </si>
  <si>
    <t>Contact details → phone 0917 → Save</t>
  </si>
  <si>
    <t>Phone validation error. Not saved</t>
  </si>
  <si>
    <t>PR-03</t>
  </si>
  <si>
    <t>Save phone 09171234567 and a Home address. Then open the function room form</t>
  </si>
  <si>
    <t>Contact prefilled with 09171234567</t>
  </si>
  <si>
    <t>PR-04</t>
  </si>
  <si>
    <t>CUST-B has bookings</t>
  </si>
  <si>
    <t>Log in as CUST → My bookings</t>
  </si>
  <si>
    <t>Only CUST's own bookings are listed</t>
  </si>
  <si>
    <t>§5.3, REQ-ADM-001</t>
  </si>
  <si>
    <t>PR-05</t>
  </si>
  <si>
    <t>New account</t>
  </si>
  <si>
    <t>My bookings</t>
  </si>
  <si>
    <t>Empty state message, no error</t>
  </si>
  <si>
    <t>PR-06</t>
  </si>
  <si>
    <t>Order Out for delivery</t>
  </si>
  <si>
    <t>Tracker → enter the reference → view the map</t>
  </si>
  <si>
    <t>The map renders the restaurant and the address pin, with a ≈ N min drive estimate (or a graceful fallback if geocoding fails)</t>
  </si>
  <si>
    <t>PR-07</t>
  </si>
  <si>
    <t>Tracker → reference CAP-9999</t>
  </si>
  <si>
    <t>"We could not find that reference."</t>
  </si>
  <si>
    <t>OP-01</t>
  </si>
  <si>
    <t>Operations dashboard</t>
  </si>
  <si>
    <t>/operations open in BrA</t>
  </si>
  <si>
    <t>In BrB, CUST books a buffet slot</t>
  </si>
  <si>
    <t>A new row appears in Catering bookings in BrA without a refresh. Catering pending +1</t>
  </si>
  <si>
    <t>REQ-ADM-002, §3.4</t>
  </si>
  <si>
    <t>REQ-ADM-002, IF-COM-01</t>
  </si>
  <si>
    <t>OP-02</t>
  </si>
  <si>
    <t>Open a function booking → Status Pending → Confirmed → Save → Timeline tab</t>
  </si>
  <si>
    <t>The timeline appends Confirmed with a timestamp. The customer's profile shows it after a refresh</t>
  </si>
  <si>
    <t>§4.2.2-4, REQ-ADM-002</t>
  </si>
  <si>
    <t>OP-03</t>
  </si>
  <si>
    <t>FOH ×2</t>
  </si>
  <si>
    <t>Same booking open in BrA and BrB (both FOH)</t>
  </si>
  <si>
    <t>Save a change in A, then try to save in B</t>
  </si>
  <si>
    <t>B shows the "booking changed in another session" error. Save changes is disabled until reload</t>
  </si>
  <si>
    <t>REQ-RES-002</t>
  </si>
  <si>
    <t>OP-04</t>
  </si>
  <si>
    <t>Two bookings: X at COL 3:00 PM, Y at COL 3:30 PM</t>
  </si>
  <si>
    <t>Edit Y → time 3:00 PM → Save</t>
  </si>
  <si>
    <t>Rejected with the slot-taken error. Y is unchanged</t>
  </si>
  <si>
    <t>OP-05</t>
  </si>
  <si>
    <t>Open a booking → no changes</t>
  </si>
  <si>
    <t>Save changes disabled</t>
  </si>
  <si>
    <t>OP-06</t>
  </si>
  <si>
    <t>Search function bookings by reference / name</t>
  </si>
  <si>
    <t>Filtering works. Empty state when there are no matches</t>
  </si>
  <si>
    <t>OP-07</t>
  </si>
  <si>
    <t>Booking Cancelled</t>
  </si>
  <si>
    <t>Set it back to Pending while its slot is free</t>
  </si>
  <si>
    <t>Allowed. The slot is re-occupied (the calendar shows it as taken)</t>
  </si>
  <si>
    <t>OP-08</t>
  </si>
  <si>
    <t>Stat cards: Active deliveries, Function pending, Catering pending, New inquiries, Total orders</t>
  </si>
  <si>
    <t>Counts match the tables below them. SRS widgets are Today's Deliveries, Room Occupancy, Pending Inquiries, Revenue Summary. The app has no room occupancy, and revenue appears only as a hint under Total orders → F-30</t>
  </si>
  <si>
    <t>REQ-ADM-002, §4.4.2-3</t>
  </si>
  <si>
    <t>REQ-ADM-002, SEQ-ADM</t>
  </si>
  <si>
    <t>F-30</t>
  </si>
  <si>
    <t>OP-09</t>
  </si>
  <si>
    <t>Manager (optional account) or Admin</t>
  </si>
  <si>
    <t>Some bookings and orders exist</t>
  </si>
  <si>
    <t>/dashboard → look for daily/monthly summaries of sales volume, direct vs. third-party breakdown and room utilisation, and an Export (CSV/PDF) action</t>
  </si>
  <si>
    <t>SRS: exportable daily/monthly reports. App: charts only (Orders by Source, Service Breakdown by Source, Order Volume Over Time, Inquiry Tracking). The source split partly covers direct vs. third-party, but there is no sales-value report, no room utilisation and no export → F-22</t>
  </si>
  <si>
    <t>REQ-ADM-004</t>
  </si>
  <si>
    <t>F-22</t>
  </si>
  <si>
    <t>NF-01</t>
  </si>
  <si>
    <t>Chrome DevTools → Network → throttling Fast 4G, cache disabled</t>
  </si>
  <si>
    <t>Load /, /delivery/order and /function-rooms/reserve. Read Load at the bottom of the Network panel</t>
  </si>
  <si>
    <t>Each loads in ≤ 5 s</t>
  </si>
  <si>
    <t>§5.1 Response Time</t>
  </si>
  <si>
    <t>NFR-PERF-01</t>
  </si>
  <si>
    <t>NF-02</t>
  </si>
  <si>
    <t>Same throttling</t>
  </si>
  <si>
    <t>Function room form → Check Availability →, time until the calendar shows slot states. Then Confirm, time until the success panel</t>
  </si>
  <si>
    <t>Each &lt; 5 s</t>
  </si>
  <si>
    <t>§5.1 Transaction Speed</t>
  </si>
  <si>
    <t>NFR-PERF-02</t>
  </si>
  <si>
    <t>NF-03</t>
  </si>
  <si>
    <t>DevTools device toolbar, width 375 px</t>
  </si>
  <si>
    <t>Walk through S-07 and S-09 on the 375 px viewport</t>
  </si>
  <si>
    <t>No horizontal scroll, every control is reachable, and the function room booking takes no more than the 8 steps listed in §5.4</t>
  </si>
  <si>
    <t>§3.1 Responsive Layout, §5.4 Usability</t>
  </si>
  <si>
    <t>NFR-USE-01, IF-UI-01</t>
  </si>
  <si>
    <t>RM-01</t>
  </si>
  <si>
    <t>Role-based access</t>
  </si>
  <si>
    <t>Signed in as the role</t>
  </si>
  <si>
    <t>Type /delivery/staff, /inquiry-bot and /dashboard in the address bar</t>
  </si>
  <si>
    <t>Each redirects to /</t>
  </si>
  <si>
    <t>RM-02</t>
  </si>
  <si>
    <t>Type /dashboard, /delivery/rider, / and /profile</t>
  </si>
  <si>
    <t>All redirect to /operations</t>
  </si>
  <si>
    <t>RM-03</t>
  </si>
  <si>
    <t>Type /operations, /delivery/items and /catering</t>
  </si>
  <si>
    <t>All redirect to /delivery/rider</t>
  </si>
  <si>
    <t>RM-04</t>
  </si>
  <si>
    <t>Type /OPERATIONS/ (case and trailing slash)</t>
  </si>
  <si>
    <t>Renders Operations (paths are normalised)</t>
  </si>
  <si>
    <t>RM-05</t>
  </si>
  <si>
    <t>Manager (optional account)</t>
  </si>
  <si>
    <t>Open /dashboard</t>
  </si>
  <si>
    <t>Renders. /delivery/rider redirects to /operations</t>
  </si>
  <si>
    <t>RM-06</t>
  </si>
  <si>
    <t>Admin (optional account)</t>
  </si>
  <si>
    <t>Renders. / redirects to /dashboard</t>
  </si>
  <si>
    <t>DB-01</t>
  </si>
  <si>
    <t>DB / Security: Anon cannot read bookings</t>
  </si>
  <si>
    <t>See command</t>
  </si>
  <si>
    <t>SB, ANON, JWT variables (§0.5)</t>
  </si>
  <si>
    <t>curl "$SB/rest/v1/function_bookings?select=id" -H "apikey: $ANON" -H "Authorization: Bearer $ANON"</t>
  </si>
  <si>
    <t>401/403 permission denied (or []). Never rows</t>
  </si>
  <si>
    <t>DB-02</t>
  </si>
  <si>
    <t>DB / Security: Anon cannot write business tables</t>
  </si>
  <si>
    <t>curl -X POST "$SB/rest/v1/inquiries" -H "apikey: $ANON" -H "Authorization: Bearer $ANON" -H 'Content-Type: application/json' -d '{"name":"x","type":"x","message":"x","status":"New"}' (repeat for catering_bookings and delivery_orders)</t>
  </si>
  <si>
    <t>401 / 42501 permission denied</t>
  </si>
  <si>
    <t>DB-03</t>
  </si>
  <si>
    <t>DB / Security: Anon can read slot inventory but not write it</t>
  </si>
  <si>
    <t>GET booking_availability?select=*&amp;limit=1 → then POST a row</t>
  </si>
  <si>
    <t>GET 200. POST denied</t>
  </si>
  <si>
    <t>NFR-SEC-02, REQ-RES-001</t>
  </si>
  <si>
    <t>DB-04</t>
  </si>
  <si>
    <t>DB / Security: Customer sees only own rows</t>
  </si>
  <si>
    <t>With CUST JWT: GET function_bookings?select=id,user_id</t>
  </si>
  <si>
    <t>Every row has user_id = CUST's id. CUST-B's bookings are absent</t>
  </si>
  <si>
    <t>NFR-SEC-02, REQ-ADM-001</t>
  </si>
  <si>
    <t>DB-05</t>
  </si>
  <si>
    <t>DB / Security: Customer cannot write another user's row</t>
  </si>
  <si>
    <t>CUST JWT: PATCH function_bookings?id=eq.&lt;CUST-B booking id&gt; body {"status":"Cancelled"} with Prefer: return=representation</t>
  </si>
  <si>
    <t>[] (0 rows affected)</t>
  </si>
  <si>
    <t>DB-06</t>
  </si>
  <si>
    <t>DB / Security: Customer self-confirm</t>
  </si>
  <si>
    <t>CUST JWT: PATCH function_bookings?id=eq.&lt;own Pending id&gt; body {"status":"Confirmed"}</t>
  </si>
  <si>
    <t>Expected (business): denied. Current policy allows it (update-own has no column/status restriction) → F-12</t>
  </si>
  <si>
    <t>REQ-RES-003, NFR-SEC-02</t>
  </si>
  <si>
    <t>F-12</t>
  </si>
  <si>
    <t>DB-07</t>
  </si>
  <si>
    <t>DB / Security: Customer cannot escalate role</t>
  </si>
  <si>
    <t>CUST JWT: PATCH profiles?id=eq.&lt;own id&gt; body {"role":"system_admin"}</t>
  </si>
  <si>
    <t>403 / permission denied (no UPDATE grant on profiles)</t>
  </si>
  <si>
    <t>DB-08</t>
  </si>
  <si>
    <t>DB / Security: Atomic slot reservation</t>
  </si>
  <si>
    <t>Fire two POSTs for the same room_id=private_dining, date=COL, time=16:00, status=Pending concurrently (two shells, CUST and CUST-B JWTs, &amp; and then wait)</t>
  </si>
  <si>
    <t>Exactly one 201. The other returns 409 / 23505 function_bookings_active_slot_unique. booking_availability has exactly one row for that slot. (The outcome meets REQ-RES-002, but the mechanism is a unique index, not SELECT FOR UPDATE → F-31)</t>
  </si>
  <si>
    <t>REQ-RES-002, ARCH-01</t>
  </si>
  <si>
    <t>F-31</t>
  </si>
  <si>
    <t>DB-09</t>
  </si>
  <si>
    <t>DB / Security: Off-grid / out-of-hours times rejected by the DB</t>
  </si>
  <si>
    <t>POST a function booking with time = 20:00, then 12:15</t>
  </si>
  <si>
    <t>23514 check violation (function_bookings_time_grid_check)</t>
  </si>
  <si>
    <t>REQ-RES-002, BRIEF</t>
  </si>
  <si>
    <t>DB-10</t>
  </si>
  <si>
    <t>DB / Security: Lead time enforced server-side</t>
  </si>
  <si>
    <t>CUST JWT: POST a function booking for today at 10:00</t>
  </si>
  <si>
    <t>Expected: rejected (BR Lead Time). Current: the DB accepts it (the 2-day rule is client-only) → F-16</t>
  </si>
  <si>
    <t>F-16</t>
  </si>
  <si>
    <t>DB-11</t>
  </si>
  <si>
    <t>DB / Security: Cancel releases the slot</t>
  </si>
  <si>
    <t>FOH: set the DB-08 booking to Cancelled → query booking_availability for that slot</t>
  </si>
  <si>
    <t>Row gone. A new booking for the slot succeeds</t>
  </si>
  <si>
    <t>DB-12</t>
  </si>
  <si>
    <t>DB / Security: Staff read all inquiries</t>
  </si>
  <si>
    <t>FOH JWT: GET inquiries?select=id,user_id&amp;limit=50</t>
  </si>
  <si>
    <t>Includes rows with user_id = null and rows from other users</t>
  </si>
  <si>
    <t>DB-13</t>
  </si>
  <si>
    <t>DB / Security: Rider has no business-table access</t>
  </si>
  <si>
    <t>RIDER JWT: GET delivery_orders?select=reference</t>
  </si>
  <si>
    <t>[] (no read policy for the rider role)</t>
  </si>
  <si>
    <t>DB-14</t>
  </si>
  <si>
    <t>DB / Security: system_admin write path</t>
  </si>
  <si>
    <t>Admin JWT: PATCH inquiries?id=eq.&lt;id&gt; body {"status":"Resolved"}</t>
  </si>
  <si>
    <t>Current: 0 rows, so the Operations UI change silently reverts on refresh. SRS expects full admin access → F-17</t>
  </si>
  <si>
    <t>UR-ADMIN, REQ-ADM-001</t>
  </si>
  <si>
    <t>F-17</t>
  </si>
  <si>
    <t>DB-15</t>
  </si>
  <si>
    <t>DB / Security: Webhook POST not authenticated</t>
  </si>
  <si>
    <t>curl -X POST $SITE/inquiry-bot -H 'Content-Type: application/json' -d '{"object":"page","entry":[]}'</t>
  </si>
  <si>
    <t>Expected: reject requests without X-Hub-Signature-256. Current: 200 EVENT_RECEIVED → F-18</t>
  </si>
  <si>
    <t>NFR-SEC-02, CON-01</t>
  </si>
  <si>
    <t>F-18</t>
  </si>
  <si>
    <t>DB-16</t>
  </si>
  <si>
    <t>DB / Security: Host / origin guard</t>
  </si>
  <si>
    <t>curl -H 'Origin: https://evil.example' -X POST $SITE/inquiries ...</t>
  </si>
  <si>
    <t>403 This website origin is not allowed.</t>
  </si>
  <si>
    <t>Req ID</t>
  </si>
  <si>
    <t>Module</t>
  </si>
  <si>
    <t>SRS Section</t>
  </si>
  <si>
    <t>Requirement (summary)</t>
  </si>
  <si>
    <t>Type</t>
  </si>
  <si>
    <t>Linked Test Cases</t>
  </si>
  <si>
    <t>Linked Findings</t>
  </si>
  <si>
    <t># Test Cases</t>
  </si>
  <si>
    <t>Verdict</t>
  </si>
  <si>
    <t>Inquiry Management</t>
  </si>
  <si>
    <t>§4.1.3</t>
  </si>
  <si>
    <t>Signed-in customers submit catering/event inquiries via web form; record created with status New</t>
  </si>
  <si>
    <t>MUST</t>
  </si>
  <si>
    <t>S-11, IQ-01, IQ-02, IQ-04</t>
  </si>
  <si>
    <t>Capture Facebook Messenger inquiries via Meta Graph API webhook; record within 30 s</t>
  </si>
  <si>
    <t>S-16, S-20, IB-01, MA-01, MA-02, MA-04, MA-06</t>
  </si>
  <si>
    <t>Show the AI Agent's drafted reply to staff before any reply is sent</t>
  </si>
  <si>
    <t>Staff edit and send the AI draft from the dashboard; set status In progress / Resolved</t>
  </si>
  <si>
    <t>IQ-06, IB-04, IB-05, IB-06</t>
  </si>
  <si>
    <t>§4.1.2</t>
  </si>
  <si>
    <t>Inquiry flow: received → created as New → acknowledgement ≤ 30 s → staff reply → status update</t>
  </si>
  <si>
    <t>Flow</t>
  </si>
  <si>
    <t>S-11, IQ-04, IQ-06, IQ-07, MA-03, MA-06</t>
  </si>
  <si>
    <t>Reservation</t>
  </si>
  <si>
    <t>§4.2.3</t>
  </si>
  <si>
    <t>Real-time calendar showing availability, blocked dates and open slots</t>
  </si>
  <si>
    <t>S-09, FR-08, FR-09, FR-11, OP-07, DB-03, DB-11</t>
  </si>
  <si>
    <t>Database-level locking prevents simultaneous double-booking</t>
  </si>
  <si>
    <t>CT-09, FR-08, OP-03, OP-04, DB-08, DB-09</t>
  </si>
  <si>
    <t>REQ-RES-003</t>
  </si>
  <si>
    <t>Minimum deposit via payment gateway before a reservation is locked</t>
  </si>
  <si>
    <t>FR-10, DB-06</t>
  </si>
  <si>
    <t>F-04, F-12</t>
  </si>
  <si>
    <t>Managers can block out dates/times (maintenance, private events)</t>
  </si>
  <si>
    <t>REQ-RES-005</t>
  </si>
  <si>
    <t>Release a locked slot if the deposit is not paid within 10 minutes</t>
  </si>
  <si>
    <t>F-05</t>
  </si>
  <si>
    <t>§4.2.2</t>
  </si>
  <si>
    <t>Booking flow: select room/date/time/duration → atomic check → 10-min lock → Pending Deposit → Confirmed; 'Already Reserved' on conflict</t>
  </si>
  <si>
    <t>S-13, CT-09, FR-08, FR-11, FR-15, OP-02</t>
  </si>
  <si>
    <t>Food Delivery</t>
  </si>
  <si>
    <t>§4.3.3</t>
  </si>
  <si>
    <t>Categorised menu with photos, descriptions, pricing and allergen/dietary tags</t>
  </si>
  <si>
    <t>DO-01, DO-03, DO-13</t>
  </si>
  <si>
    <t>Dynamic cart, item customisation notes, subtotal and delivery fee</t>
  </si>
  <si>
    <t>DO-02, DO-04, DO-14</t>
  </si>
  <si>
    <t>Card and e-wallet (GCash/PayMaya) payment via PCI-DSS checkout</t>
  </si>
  <si>
    <t>Live order tracking for customers and real-time status toggle for staff</t>
  </si>
  <si>
    <t>S-06, S-10, S-15, S-19, DO-08, DO-09, DO-11, DS-01, DS-02, PR-06, PR-07</t>
  </si>
  <si>
    <t>F-01, F-02</t>
  </si>
  <si>
    <t>§4.3.2</t>
  </si>
  <si>
    <t>Order flow: select → address/contact/payment → payment → staff chime + docket → Received → Preparing → Out for Delivery → Delivered</t>
  </si>
  <si>
    <t>S-06, DO-06, DO-14, DS-14</t>
  </si>
  <si>
    <t>F-20, F-26</t>
  </si>
  <si>
    <t>Website &amp; Admin</t>
  </si>
  <si>
    <t>§4.4.3</t>
  </si>
  <si>
    <t>JWT role-based access control for Staff, Manager, Administrator and Delivery Rider</t>
  </si>
  <si>
    <t>S-01, S-03, S-12, S-18, AU-01, AU-05, AU-09, AU-10, IB-09, PR-04, RM-01, RM-02, RM-03, RM-04, RM-05, RM-06, DB-04, DB-07, DB-14</t>
  </si>
  <si>
    <t>Unified operations dashboard with real-time manifests of orders, bookings and inquiries</t>
  </si>
  <si>
    <t>S-13, S-14, DS-01, IQ-05, OP-01, OP-02, OP-08, DB-12</t>
  </si>
  <si>
    <t>Authorised managers edit item availability, prices and dish photos</t>
  </si>
  <si>
    <t>DS-05, DS-06, DS-07</t>
  </si>
  <si>
    <t>Exportable daily/monthly sales, direct vs. third-party and room-utilisation reports</t>
  </si>
  <si>
    <t>SEQ-ADM</t>
  </si>
  <si>
    <t>§4.4.2</t>
  </si>
  <si>
    <t>Dashboard flow: staff login → role check → widgets (deliveries, occupancy, inquiries, revenue) → edits persist to storefront</t>
  </si>
  <si>
    <t>DS-06, OP-08</t>
  </si>
  <si>
    <t>F-09, F-30</t>
  </si>
  <si>
    <t>User classes</t>
  </si>
  <si>
    <t>§2.3</t>
  </si>
  <si>
    <t>Customers: browse without sign-in; sign-in required for booking, ordering and inquiries</t>
  </si>
  <si>
    <t>Access</t>
  </si>
  <si>
    <t>S-02, S-04, S-05, S-07, CT-01, IQ-01</t>
  </si>
  <si>
    <t>Delivery Rider: sees assigned orders only; may set status to Delivered</t>
  </si>
  <si>
    <t>S-17, S-18, AU-06, DS-09, DS-13, DB-13</t>
  </si>
  <si>
    <t>F-13, F-25</t>
  </si>
  <si>
    <t>UR-ADMIN</t>
  </si>
  <si>
    <t>System Administrator: full administrative and system access</t>
  </si>
  <si>
    <t>Business rules</t>
  </si>
  <si>
    <t>§5.5</t>
  </si>
  <si>
    <t>Reservation Lead Time: book at least 2 days before the date</t>
  </si>
  <si>
    <t>Rule</t>
  </si>
  <si>
    <t>S-01, S-07, S-09, CT-03, FR-07, DB-10</t>
  </si>
  <si>
    <t>Party Size Limits: accept parties of 10 to 50 guests only</t>
  </si>
  <si>
    <t>S-09, FR-02, FR-03, FR-04</t>
  </si>
  <si>
    <t>Menu and Pricing Authority: only Restaurant Manager and Administrator change menu/prices</t>
  </si>
  <si>
    <t>Cancellation Policy: self-cancel by email link up to 2 days before; staff flag late cancels/no-shows</t>
  </si>
  <si>
    <t>FR-12, FR-16</t>
  </si>
  <si>
    <t>F-06, F-29</t>
  </si>
  <si>
    <t>§5.1</t>
  </si>
  <si>
    <t>Website loads within 5 s on 4G and broadband</t>
  </si>
  <si>
    <t>Availability searches and reservation confirmations respond in under 5 s</t>
  </si>
  <si>
    <t>§5.2</t>
  </si>
  <si>
    <t>All text inputs sanitised against injection</t>
  </si>
  <si>
    <t>RA 10173 compliance; explicit consent checkbox on the booking form</t>
  </si>
  <si>
    <t>RBAC; customers and riders verify by email; staff need specific accounts</t>
  </si>
  <si>
    <t>AU-01, AU-02, AU-03, AU-11, PR-01, PR-04, DB-01, DB-02, DB-03, DB-04, DB-05, DB-06, DB-07, DB-15, DB-16</t>
  </si>
  <si>
    <t>F-12, F-18</t>
  </si>
  <si>
    <t>Mobile-first; reservation completable in ≤ 8 steps</t>
  </si>
  <si>
    <t>FR-01, FR-05, PR-03, NF-03</t>
  </si>
  <si>
    <t>IF-UI-01</t>
  </si>
  <si>
    <t>Interfaces</t>
  </si>
  <si>
    <t>§3.1</t>
  </si>
  <si>
    <t>Responsive UI (375 px to 4K) and real-time alert badges on the dashboard</t>
  </si>
  <si>
    <t>Interface</t>
  </si>
  <si>
    <t>DS-14, IQ-05, NF-03</t>
  </si>
  <si>
    <t>F-26, F-27</t>
  </si>
  <si>
    <t>IF-SW-01</t>
  </si>
  <si>
    <t>§3.3</t>
  </si>
  <si>
    <t>Transactional email (e.g. Resend) for booking confirmations and receipts</t>
  </si>
  <si>
    <t>F-06, F-21</t>
  </si>
  <si>
    <t>IF-COM-01</t>
  </si>
  <si>
    <t>§3.4</t>
  </si>
  <si>
    <t>WebSockets/SSE push for real-time dashboard notifications</t>
  </si>
  <si>
    <t>IQ-05, OP-01</t>
  </si>
  <si>
    <t>CON-01</t>
  </si>
  <si>
    <t>Constraints</t>
  </si>
  <si>
    <t>§2.5</t>
  </si>
  <si>
    <t>Vendor credentials kept in Railway encrypted variables; Meta API dependency</t>
  </si>
  <si>
    <t>Constraint</t>
  </si>
  <si>
    <t>S-20, DB-15</t>
  </si>
  <si>
    <t>ARCH-01</t>
  </si>
  <si>
    <t>Architecture</t>
  </si>
  <si>
    <t>§2.1, §2.4</t>
  </si>
  <si>
    <t>Three-tier architecture: React + TypeScript, Python FastAPI backend, PostgreSQL (Supabase)</t>
  </si>
  <si>
    <t>Design</t>
  </si>
  <si>
    <t>Not in SRS</t>
  </si>
  <si>
    <t>Behaviour from the test brief or the app itself (no SRS requirement); traced for completeness</t>
  </si>
  <si>
    <t>S-07, S-08, AU-04, AU-07, AU-08, CT-02, CT-04, CT-05, CT-06, CT-07, CT-08, CT-10, CT-12, FR-06, DO-05, DO-07, DO-12, DS-03, DS-04, DS-10, DS-11, DS-12, IQ-03, IQ-08, IB-02, IB-03, IB-07, MA-05, MA-07, MA-08, MA-09, PR-02, PR-05, OP-05, OP-06, DB-09</t>
  </si>
  <si>
    <t>F-11, F-19</t>
  </si>
  <si>
    <t>Counts and verdicts are formulas over Test Cases → Requirement IDs (col J) and Status (col N). IDs other than REQ-* are assigned by this RTM because the SRS does not number those items; see Cover.</t>
  </si>
  <si>
    <t>Finding ID</t>
  </si>
  <si>
    <t>Severity</t>
  </si>
  <si>
    <t>Finding</t>
  </si>
  <si>
    <t>Evidence (code @ 010694c)</t>
  </si>
  <si>
    <t>Failed Cases</t>
  </si>
  <si>
    <t>Owner</t>
  </si>
  <si>
    <t>Target Date</t>
  </si>
  <si>
    <t>Resolution Notes</t>
  </si>
  <si>
    <t>Web delivery orders are stored only in the browser's localStorage, not in Supabase delivery_orders. Staff, riders and customers on other devices never see them</t>
  </si>
  <si>
    <t>src/data/delivery.ts:200-216, DeliveryOrder.tsx:252-280; no delivery_orders query anywhere in src/</t>
  </si>
  <si>
    <t>DO-08, DS-14</t>
  </si>
  <si>
    <t>The order reference is CAP-${1050 + local order count}, generated client-side, so duplicates across devices are possible. The DB function next_delivery_reference() is unused</t>
  </si>
  <si>
    <t>DeliveryOrder.tsx:253</t>
  </si>
  <si>
    <t>Function room accepts 1–30 guests. The SRS says 10–50</t>
  </si>
  <si>
    <t>FunctionRoomReservation.tsx:76-80, maxPax={30}</t>
  </si>
  <si>
    <t>FR-02, FR-03</t>
  </si>
  <si>
    <t>No payment gateway or deposit: bookings are created as Pending with no payment, and the GCash/Card options are labels only. PayMaya (REQ-DEL-003) is not offered</t>
  </si>
  <si>
    <t>reservations.ts:155, DeliveryOrder.tsx:893</t>
  </si>
  <si>
    <t>REQ-RES-003, REQ-DEL-003</t>
  </si>
  <si>
    <t>FR-10, DO-10</t>
  </si>
  <si>
    <t>No 10-minute slot hold or expiry. The slot is occupied as soon as the booking is Pending and stays occupied until staff cancel it</t>
  </si>
  <si>
    <t>No hold logic in the migrations or src/</t>
  </si>
  <si>
    <t>No confirmation email or self-cancel link</t>
  </si>
  <si>
    <t>No SMTP/Resend code</t>
  </si>
  <si>
    <t>BR Cancellation, §3.3</t>
  </si>
  <si>
    <t>The web inquiry form does not require sign-in, the server always saves user_id = null (even for a signed-in customer, so the inquiry is never linked to the account), and non-order inquiries are saved as Resolved instead of New</t>
  </si>
  <si>
    <t>Inquiries.tsx, webhook.js:820-828</t>
  </si>
  <si>
    <t>IQ-01, IQ-07, S-14</t>
  </si>
  <si>
    <t>Front-of-house can edit the menu (/delivery/items), and catalog RLS gives FOH write access to packages, items, rooms and blackout dates</t>
  </si>
  <si>
    <t>roles.ts OPERATIONS_PATHS; migration 20260917082142 operational_predicate</t>
  </si>
  <si>
    <t>DS-08, S-08</t>
  </si>
  <si>
    <t>Menu manager edits (items, categories, visibility) are stored in localStorage only, so they are not persisted to the DB or shown to other customers</t>
  </si>
  <si>
    <t>src/data/deliveryMenu.ts</t>
  </si>
  <si>
    <t>DS-06, S-06</t>
  </si>
  <si>
    <t>The Inquiry Bot page shows no AI-drafted reply for staff to edit</t>
  </si>
  <si>
    <t>InquiryBot.tsx (no draft field)</t>
  </si>
  <si>
    <t>P1 (brief)</t>
  </si>
  <si>
    <t>The Messenger agent never creates orders (place_order → "we can't take orders here"), so no source = messenger rows are written, although the schema supports them</t>
  </si>
  <si>
    <t>webhook.js:525, :950-953</t>
  </si>
  <si>
    <t>— (the test brief expects it; the SRS does not require it)</t>
  </si>
  <si>
    <t>Customer RLS allows updating any column of their own booking or order, including status (e.g., self-Confirmed)</t>
  </si>
  <si>
    <t>Migration 20260917082142 update policy</t>
  </si>
  <si>
    <t>REQ-RES-003, §5.3</t>
  </si>
  <si>
    <t>A rider account whose display name doesn't match a rider record sees the first rider's orders</t>
  </si>
  <si>
    <t>DeliveryRider.tsx:26-34</t>
  </si>
  <si>
    <t>§2.3 Rider ("assigned orders")</t>
  </si>
  <si>
    <t>DS-11, S-11</t>
  </si>
  <si>
    <t>There is no UI for managers to block out dates; reserved_dates can only be edited in the DB</t>
  </si>
  <si>
    <t>No write to reserved_dates in src/</t>
  </si>
  <si>
    <t>The booking form has no data-privacy consent checkbox</t>
  </si>
  <si>
    <t>No "consent" in src/</t>
  </si>
  <si>
    <t>The 2-day lead time is enforced only in the client. The DB accepts same-day bookings</t>
  </si>
  <si>
    <t>CalendarModal.tsx:201-209; no DB check</t>
  </si>
  <si>
    <t>system_admin can open Operations but RLS denies writes, so status changes fail or silently revert</t>
  </si>
  <si>
    <t>Migration 20260917082142 (operational_predicate excludes system_admin)</t>
  </si>
  <si>
    <t>§2.3 (Administrator: full access), REQ-ADM-001</t>
  </si>
  <si>
    <t>REQ-ADM-001, UR-ADMIN</t>
  </si>
  <si>
    <t>POST /inquiry-bot has no Meta signature check, and VERIFY_TOKEN falls back to test-agent when the env var is unset</t>
  </si>
  <si>
    <t>webhook.js:75, :975</t>
  </si>
  <si>
    <t>§5.3, §2.5 Vendor</t>
  </si>
  <si>
    <t>Phone rules differ between forms: function room and catering accept +639…, delivery and profile accept only 09…</t>
  </si>
  <si>
    <t>FunctionRoomReservation.tsx:16 vs DeliveryOrder.tsx:46</t>
  </si>
  <si>
    <t>— (internal consistency)</t>
  </si>
  <si>
    <t>FR-06, DO-05</t>
  </si>
  <si>
    <t>F-20</t>
  </si>
  <si>
    <t>The delivery status flow differs: the SRS has Received → Preparing → Out for Delivery → Delivered; the app has Preparing → Ready for pickup → Out for delivery → Delivered</t>
  </si>
  <si>
    <t>delivery.ts:49</t>
  </si>
  <si>
    <t>§4.3.2-5</t>
  </si>
  <si>
    <t>DS-02, S-02</t>
  </si>
  <si>
    <t>F-21</t>
  </si>
  <si>
    <t>Packed-meal bookings are saved with email = "", so staff cannot email the customer</t>
  </si>
  <si>
    <t>CateringPacked.tsx:292</t>
  </si>
  <si>
    <t>§3.3 SMTP</t>
  </si>
  <si>
    <t>No reporting module: /dashboard shows charts but has no sales-value or room-utilisation summary and no export</t>
  </si>
  <si>
    <t>Dashboard.tsx (no CSV/PDF/download code)</t>
  </si>
  <si>
    <t>Menu items have no allergen or dietary tags</t>
  </si>
  <si>
    <t>No "allergen" anywhere in src/</t>
  </si>
  <si>
    <t>Customisation notes are per order, not per item</t>
  </si>
  <si>
    <t>DeliveryOrder.tsx:900 (single Notes field)</t>
  </si>
  <si>
    <t>Riders can set Out for delivery as well as Delivered</t>
  </si>
  <si>
    <t>DeliveryRider.tsx:36-44 (NEXT_STATUS)</t>
  </si>
  <si>
    <t>DS-13, S-13, S-18</t>
  </si>
  <si>
    <t>F-26</t>
  </si>
  <si>
    <t>No audible chime and no live refresh for new delivery orders on the staff page</t>
  </si>
  <si>
    <t>No audio code in src/; AdminDelivery.tsx has no polling or storage listener</t>
  </si>
  <si>
    <t>§4.3.2-4, §3.1</t>
  </si>
  <si>
    <t>DS-14, S-14</t>
  </si>
  <si>
    <t>Inquiries and dashboard counts arrive by 10-second polling, not WebSocket/SSE push (bookings do use Supabase Realtime)</t>
  </si>
  <si>
    <t>setInterval in Operations.tsx, InquiryBot.tsx, Dashboard.tsx</t>
  </si>
  <si>
    <t>§3.4, §3.1</t>
  </si>
  <si>
    <t>IF-UI-01, IF-COM-01</t>
  </si>
  <si>
    <t>Booking flow differs from §4.2.2: no duration choice, status Pending instead of Pending Deposit, collision text differs from "Already Reserved"</t>
  </si>
  <si>
    <t>reservations.ts:7; CalendarModal.tsx</t>
  </si>
  <si>
    <t>Staff cannot flag late cancellations or no-shows</t>
  </si>
  <si>
    <t>ReservationStatus has no such value (reservations.ts:7)</t>
  </si>
  <si>
    <t>Operations stat cards differ from the SRS widgets: no Room Occupancy, and revenue appears only as a hint</t>
  </si>
  <si>
    <t>Operations.tsx:277-281</t>
  </si>
  <si>
    <t>§4.4.2-3</t>
  </si>
  <si>
    <t>P2 (docs)</t>
  </si>
  <si>
    <t>The SRS architecture doesn't match the build: Python FastAPI backend vs. Express webhook.js; SELECT FOR UPDATE vs. a partial unique index for slot locking. Behaviour is equivalent; update the SRS (§2.1, §2.4, REQ-RES-002) or record a design decision</t>
  </si>
  <si>
    <t>webhook.js; migration unique index function_bookings_active_slot_unique</t>
  </si>
  <si>
    <t>§2.1, §2.4, REQ-RES-002</t>
  </si>
  <si>
    <t>Failed Cases counts test cases whose Defect / Finding ID contains this finding and whose Status is Fail. Note: 'F-1' style partial matches are avoided because IDs are two digits (F-01 … F-31).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</si>
</sst>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x14ac:knownFonts="1">
    <font>
      <sz val="11"/>
      <color theme="1"/>
      <name val="Calibri"/>
      <family val="2"/>
      <scheme val="minor"/>
    </font>
    <font>
      <b/>
      <sz val="10"/>
      <name val="Arial"/>
    </font>
    <font>
      <sz val="10"/>
      <name val="Arial"/>
    </font>
    <font>
      <b/>
      <sz val="16"/>
      <color rgb="FF640000"/>
      <name val="Arial"/>
    </font>
    <font>
      <b/>
      <sz val="11"/>
      <color rgb="FF640000"/>
      <name val="Arial"/>
    </font>
    <font>
      <b/>
      <sz val="10"/>
      <color rgb="FFFFFFFF"/>
      <name val="Arial"/>
    </font>
    <font>
      <b/>
      <sz val="9"/>
      <name val="Arial"/>
    </font>
    <font>
      <sz val="9"/>
      <name val="Arial"/>
    </font>
    <font>
      <i/>
      <sz val="9"/>
      <name val="Arial"/>
    </font>
    <font>
      <b/>
      <sz val="14"/>
      <color rgb="FF640000"/>
      <name val="Arial"/>
    </font>
  </fonts>
  <fills count="4">
    <fill>
      <patternFill patternType="none"/>
    </fill>
    <fill>
      <patternFill patternType="gray125"/>
    </fill>
    <fill>
      <patternFill patternType="solid">
        <fgColor rgb="FFFFF2CC"/>
      </patternFill>
    </fill>
    <fill>
      <patternFill patternType="solid">
        <fgColor rgb="FF64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xfId="0"/>
    <xf numFmtId="0" fontId="3" fillId="0" borderId="0" xfId="0" applyFont="1" applyAlignment="1">
      <alignment vertical="top"/>
    </xf>
    <xf numFmtId="0" fontId="2" fillId="0" borderId="0" xfId="0" applyFont="1" applyAlignment="1">
      <alignment vertical="top" wrapText="1"/>
    </xf>
    <xf numFmtId="0" fontId="1" fillId="0" borderId="0" xfId="0" applyFont="1" applyAlignment="1">
      <alignment vertical="top"/>
    </xf>
    <xf numFmtId="0" fontId="4" fillId="0" borderId="0" xfId="0" applyFont="1" applyAlignment="1">
      <alignment vertical="top"/>
    </xf>
    <xf numFmtId="0" fontId="2" fillId="2" borderId="0" xfId="0" applyFont="1" applyFill="1" applyAlignment="1">
      <alignment vertical="top" wrapText="1"/>
    </xf>
    <xf numFmtId="0" fontId="9" fillId="0" borderId="0" xfId="0" applyFont="1"/>
    <xf numFmtId="0" fontId="5" fillId="3" borderId="1" xfId="0" applyFont="1" applyFill="1" applyBorder="1" applyAlignment="1">
      <alignment horizontal="center"/>
    </xf>
    <xf numFmtId="0" fontId="6" fillId="0" borderId="1" xfId="0" applyFont="1" applyBorder="1" applyAlignment="1">
      <alignment vertical="top" wrapText="1"/>
    </xf>
    <xf numFmtId="0" fontId="7" fillId="0" borderId="1" xfId="0" applyFont="1" applyBorder="1" applyAlignment="1">
      <alignment horizontal="center" vertical="top" wrapText="1"/>
    </xf>
    <xf numFmtId="9" fontId="7" fillId="0" borderId="1" xfId="0" applyNumberFormat="1" applyFont="1" applyBorder="1" applyAlignment="1">
      <alignment horizontal="center" vertical="top" wrapText="1"/>
    </xf>
    <xf numFmtId="0" fontId="6" fillId="0" borderId="1" xfId="0" applyFont="1" applyBorder="1" applyAlignment="1">
      <alignment horizontal="center" vertical="top" wrapText="1"/>
    </xf>
    <xf numFmtId="9" fontId="6" fillId="0" borderId="1" xfId="0" applyNumberFormat="1" applyFont="1" applyBorder="1" applyAlignment="1">
      <alignment horizontal="center" vertical="top" wrapText="1"/>
    </xf>
    <xf numFmtId="0" fontId="4" fillId="0" borderId="0" xfId="0" applyFont="1"/>
    <xf numFmtId="0" fontId="5" fillId="3" borderId="1" xfId="0" applyFont="1" applyFill="1" applyBorder="1" applyAlignment="1">
      <alignment horizontal="center" vertical="center" wrapText="1"/>
    </xf>
    <xf numFmtId="0" fontId="7" fillId="0" borderId="1" xfId="0" applyFont="1" applyBorder="1" applyAlignment="1">
      <alignment vertical="top" wrapText="1"/>
    </xf>
    <xf numFmtId="0" fontId="7" fillId="2" borderId="1" xfId="0" applyFont="1" applyFill="1" applyBorder="1" applyAlignment="1">
      <alignment horizontal="center" vertical="top" wrapText="1"/>
    </xf>
    <xf numFmtId="0" fontId="7" fillId="2" borderId="1" xfId="0" applyFont="1" applyFill="1" applyBorder="1" applyAlignment="1">
      <alignment vertical="top" wrapText="1"/>
    </xf>
    <xf numFmtId="164" fontId="7" fillId="2" borderId="1" xfId="0" applyNumberFormat="1" applyFont="1" applyFill="1" applyBorder="1" applyAlignment="1">
      <alignment horizontal="center" vertical="top" wrapText="1"/>
    </xf>
    <xf numFmtId="0" fontId="8" fillId="0" borderId="0" xfId="0" applyFont="1"/>
    <xf numFmtId="0" fontId="0" fillId="0" borderId="0" xfId="0"/>
  </cellXfs>
  <cellStyles count="1">
    <cellStyle name="Normal" xfId="0" builtinId="0"/>
  </cellStyles>
  <dxfs count="9">
    <dxf>
      <fill>
        <patternFill patternType="solid">
          <fgColor rgb="FFF4B084"/>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ont>
        <sz val="9"/>
        <color rgb="FF9C0006"/>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showGridLines="0" tabSelected="1" workbookViewId="0"/>
  </sheetViews>
  <sheetFormatPr defaultRowHeight="14.4" x14ac:dyDescent="0.3"/>
  <cols>
    <col min="1" max="1" width="26" customWidth="1"/>
    <col min="2" max="2" width="95" customWidth="1"/>
  </cols>
  <sheetData>
    <row r="1" spans="1:2" ht="21" x14ac:dyDescent="0.3">
      <c r="A1" s="1" t="s">
        <v>0</v>
      </c>
      <c r="B1" s="2"/>
    </row>
    <row r="2" spans="1:2" x14ac:dyDescent="0.3">
      <c r="A2" s="3"/>
      <c r="B2" s="2"/>
    </row>
    <row r="3" spans="1:2" x14ac:dyDescent="0.3">
      <c r="A3" s="3" t="s">
        <v>1</v>
      </c>
      <c r="B3" s="2" t="s">
        <v>2</v>
      </c>
    </row>
    <row r="4" spans="1:2" x14ac:dyDescent="0.3">
      <c r="A4" s="3" t="s">
        <v>3</v>
      </c>
      <c r="B4" s="2" t="s">
        <v>4</v>
      </c>
    </row>
    <row r="5" spans="1:2" x14ac:dyDescent="0.3">
      <c r="A5" s="3" t="s">
        <v>5</v>
      </c>
      <c r="B5" s="2" t="s">
        <v>6</v>
      </c>
    </row>
    <row r="6" spans="1:2" x14ac:dyDescent="0.3">
      <c r="A6" s="3" t="s">
        <v>7</v>
      </c>
      <c r="B6" s="2" t="s">
        <v>8</v>
      </c>
    </row>
    <row r="7" spans="1:2" x14ac:dyDescent="0.3">
      <c r="A7" s="3" t="s">
        <v>9</v>
      </c>
      <c r="B7" s="2" t="s">
        <v>10</v>
      </c>
    </row>
    <row r="8" spans="1:2" x14ac:dyDescent="0.3">
      <c r="A8" s="3"/>
      <c r="B8" s="2"/>
    </row>
    <row r="9" spans="1:2" x14ac:dyDescent="0.3">
      <c r="A9" s="4" t="s">
        <v>11</v>
      </c>
      <c r="B9" s="2"/>
    </row>
    <row r="10" spans="1:2" x14ac:dyDescent="0.3">
      <c r="A10" s="3" t="s">
        <v>12</v>
      </c>
      <c r="B10" s="2" t="s">
        <v>13</v>
      </c>
    </row>
    <row r="11" spans="1:2" ht="26.4" x14ac:dyDescent="0.3">
      <c r="A11" s="3" t="s">
        <v>14</v>
      </c>
      <c r="B11" s="2" t="s">
        <v>15</v>
      </c>
    </row>
    <row r="12" spans="1:2" x14ac:dyDescent="0.3">
      <c r="A12" s="3" t="s">
        <v>16</v>
      </c>
      <c r="B12" s="2" t="s">
        <v>17</v>
      </c>
    </row>
    <row r="13" spans="1:2" x14ac:dyDescent="0.3">
      <c r="A13" s="3" t="s">
        <v>18</v>
      </c>
      <c r="B13" s="2" t="s">
        <v>19</v>
      </c>
    </row>
    <row r="14" spans="1:2" ht="39.6" x14ac:dyDescent="0.3">
      <c r="A14" s="3" t="s">
        <v>20</v>
      </c>
      <c r="B14" s="2" t="s">
        <v>21</v>
      </c>
    </row>
    <row r="15" spans="1:2" x14ac:dyDescent="0.3">
      <c r="A15" s="3"/>
      <c r="B15" s="2"/>
    </row>
    <row r="16" spans="1:2" x14ac:dyDescent="0.3">
      <c r="A16" s="4" t="s">
        <v>22</v>
      </c>
      <c r="B16" s="2"/>
    </row>
    <row r="17" spans="1:2" ht="39.6" x14ac:dyDescent="0.3">
      <c r="A17" s="3" t="s">
        <v>23</v>
      </c>
      <c r="B17" s="5" t="s">
        <v>24</v>
      </c>
    </row>
    <row r="18" spans="1:2" ht="26.4" x14ac:dyDescent="0.3">
      <c r="A18" s="3" t="s">
        <v>25</v>
      </c>
      <c r="B18" s="2" t="s">
        <v>26</v>
      </c>
    </row>
    <row r="19" spans="1:2" ht="26.4" x14ac:dyDescent="0.3">
      <c r="A19" s="3" t="s">
        <v>27</v>
      </c>
      <c r="B19" s="2" t="s">
        <v>28</v>
      </c>
    </row>
    <row r="20" spans="1:2" x14ac:dyDescent="0.3">
      <c r="A20" s="3" t="s">
        <v>29</v>
      </c>
      <c r="B20" s="2" t="s">
        <v>30</v>
      </c>
    </row>
    <row r="21" spans="1:2" ht="26.4" x14ac:dyDescent="0.3">
      <c r="A21" s="3" t="s">
        <v>31</v>
      </c>
      <c r="B21" s="2" t="s">
        <v>32</v>
      </c>
    </row>
    <row r="22" spans="1:2" x14ac:dyDescent="0.3">
      <c r="A22" s="3"/>
      <c r="B22" s="2"/>
    </row>
    <row r="23" spans="1:2" ht="39.6" x14ac:dyDescent="0.3">
      <c r="A23" s="3" t="s">
        <v>33</v>
      </c>
      <c r="B23" s="2" t="s">
        <v>34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8"/>
  <sheetViews>
    <sheetView showGridLines="0" workbookViewId="0"/>
  </sheetViews>
  <sheetFormatPr defaultRowHeight="14.4" x14ac:dyDescent="0.3"/>
  <cols>
    <col min="1" max="1" width="22" customWidth="1"/>
    <col min="2" max="9" width="12" customWidth="1"/>
  </cols>
  <sheetData>
    <row r="1" spans="1:9" ht="17.399999999999999" x14ac:dyDescent="0.3">
      <c r="A1" s="6" t="s">
        <v>35</v>
      </c>
    </row>
    <row r="3" spans="1:9" x14ac:dyDescent="0.3">
      <c r="A3" s="7" t="s">
        <v>36</v>
      </c>
      <c r="B3" s="7" t="s">
        <v>37</v>
      </c>
      <c r="C3" s="7" t="s">
        <v>38</v>
      </c>
      <c r="D3" s="7" t="s">
        <v>39</v>
      </c>
      <c r="E3" s="7" t="s">
        <v>40</v>
      </c>
      <c r="F3" s="7" t="s">
        <v>41</v>
      </c>
      <c r="G3" s="7" t="s">
        <v>42</v>
      </c>
      <c r="H3" s="7" t="s">
        <v>43</v>
      </c>
      <c r="I3" s="7" t="s">
        <v>44</v>
      </c>
    </row>
    <row r="4" spans="1:9" x14ac:dyDescent="0.3">
      <c r="A4" s="8" t="s">
        <v>45</v>
      </c>
      <c r="B4" s="9">
        <f>COUNTIF('Test Cases'!$B$2:$B$155,A4)</f>
        <v>20</v>
      </c>
      <c r="C4" s="9">
        <f>COUNTIFS('Test Cases'!$B$2:$B$155,$A4,'Test Cases'!$N$2:$N$155,"Pass")</f>
        <v>0</v>
      </c>
      <c r="D4" s="9">
        <f>COUNTIFS('Test Cases'!$B$2:$B$155,$A4,'Test Cases'!$N$2:$N$155,"Fail")</f>
        <v>0</v>
      </c>
      <c r="E4" s="9">
        <f>COUNTIFS('Test Cases'!$B$2:$B$155,$A4,'Test Cases'!$N$2:$N$155,"Blocked")</f>
        <v>0</v>
      </c>
      <c r="F4" s="9">
        <f>COUNTIFS('Test Cases'!$B$2:$B$155,$A4,'Test Cases'!$N$2:$N$155,"N/A")</f>
        <v>0</v>
      </c>
      <c r="G4" s="9">
        <f>COUNTIFS('Test Cases'!$B$2:$B$155,$A4,'Test Cases'!$N$2:$N$155,"Not Run")</f>
        <v>20</v>
      </c>
      <c r="H4" s="10">
        <f t="shared" ref="H4:H9" si="0">IF(B4=0,0,(B4-G4)/B4)</f>
        <v>0</v>
      </c>
      <c r="I4" s="10">
        <f t="shared" ref="I4:I9" si="1">IF(C4+D4=0,0,C4/(C4+D4))</f>
        <v>0</v>
      </c>
    </row>
    <row r="5" spans="1:9" x14ac:dyDescent="0.3">
      <c r="A5" s="8" t="s">
        <v>46</v>
      </c>
      <c r="B5" s="9">
        <f>COUNTIF('Test Cases'!$B$2:$B$155,A5)</f>
        <v>109</v>
      </c>
      <c r="C5" s="9">
        <f>COUNTIFS('Test Cases'!$B$2:$B$155,$A5,'Test Cases'!$N$2:$N$155,"Pass")</f>
        <v>0</v>
      </c>
      <c r="D5" s="9">
        <f>COUNTIFS('Test Cases'!$B$2:$B$155,$A5,'Test Cases'!$N$2:$N$155,"Fail")</f>
        <v>0</v>
      </c>
      <c r="E5" s="9">
        <f>COUNTIFS('Test Cases'!$B$2:$B$155,$A5,'Test Cases'!$N$2:$N$155,"Blocked")</f>
        <v>0</v>
      </c>
      <c r="F5" s="9">
        <f>COUNTIFS('Test Cases'!$B$2:$B$155,$A5,'Test Cases'!$N$2:$N$155,"N/A")</f>
        <v>0</v>
      </c>
      <c r="G5" s="9">
        <f>COUNTIFS('Test Cases'!$B$2:$B$155,$A5,'Test Cases'!$N$2:$N$155,"Not Run")</f>
        <v>109</v>
      </c>
      <c r="H5" s="10">
        <f t="shared" si="0"/>
        <v>0</v>
      </c>
      <c r="I5" s="10">
        <f t="shared" si="1"/>
        <v>0</v>
      </c>
    </row>
    <row r="6" spans="1:9" x14ac:dyDescent="0.3">
      <c r="A6" s="8" t="s">
        <v>47</v>
      </c>
      <c r="B6" s="9">
        <f>COUNTIF('Test Cases'!$B$2:$B$155,A6)</f>
        <v>3</v>
      </c>
      <c r="C6" s="9">
        <f>COUNTIFS('Test Cases'!$B$2:$B$155,$A6,'Test Cases'!$N$2:$N$155,"Pass")</f>
        <v>0</v>
      </c>
      <c r="D6" s="9">
        <f>COUNTIFS('Test Cases'!$B$2:$B$155,$A6,'Test Cases'!$N$2:$N$155,"Fail")</f>
        <v>0</v>
      </c>
      <c r="E6" s="9">
        <f>COUNTIFS('Test Cases'!$B$2:$B$155,$A6,'Test Cases'!$N$2:$N$155,"Blocked")</f>
        <v>0</v>
      </c>
      <c r="F6" s="9">
        <f>COUNTIFS('Test Cases'!$B$2:$B$155,$A6,'Test Cases'!$N$2:$N$155,"N/A")</f>
        <v>0</v>
      </c>
      <c r="G6" s="9">
        <f>COUNTIFS('Test Cases'!$B$2:$B$155,$A6,'Test Cases'!$N$2:$N$155,"Not Run")</f>
        <v>3</v>
      </c>
      <c r="H6" s="10">
        <f t="shared" si="0"/>
        <v>0</v>
      </c>
      <c r="I6" s="10">
        <f t="shared" si="1"/>
        <v>0</v>
      </c>
    </row>
    <row r="7" spans="1:9" x14ac:dyDescent="0.3">
      <c r="A7" s="8" t="s">
        <v>48</v>
      </c>
      <c r="B7" s="9">
        <f>COUNTIF('Test Cases'!$B$2:$B$155,A7)</f>
        <v>6</v>
      </c>
      <c r="C7" s="9">
        <f>COUNTIFS('Test Cases'!$B$2:$B$155,$A7,'Test Cases'!$N$2:$N$155,"Pass")</f>
        <v>0</v>
      </c>
      <c r="D7" s="9">
        <f>COUNTIFS('Test Cases'!$B$2:$B$155,$A7,'Test Cases'!$N$2:$N$155,"Fail")</f>
        <v>0</v>
      </c>
      <c r="E7" s="9">
        <f>COUNTIFS('Test Cases'!$B$2:$B$155,$A7,'Test Cases'!$N$2:$N$155,"Blocked")</f>
        <v>0</v>
      </c>
      <c r="F7" s="9">
        <f>COUNTIFS('Test Cases'!$B$2:$B$155,$A7,'Test Cases'!$N$2:$N$155,"N/A")</f>
        <v>0</v>
      </c>
      <c r="G7" s="9">
        <f>COUNTIFS('Test Cases'!$B$2:$B$155,$A7,'Test Cases'!$N$2:$N$155,"Not Run")</f>
        <v>6</v>
      </c>
      <c r="H7" s="10">
        <f t="shared" si="0"/>
        <v>0</v>
      </c>
      <c r="I7" s="10">
        <f t="shared" si="1"/>
        <v>0</v>
      </c>
    </row>
    <row r="8" spans="1:9" x14ac:dyDescent="0.3">
      <c r="A8" s="8" t="s">
        <v>49</v>
      </c>
      <c r="B8" s="9">
        <f>COUNTIF('Test Cases'!$B$2:$B$155,A8)</f>
        <v>16</v>
      </c>
      <c r="C8" s="9">
        <f>COUNTIFS('Test Cases'!$B$2:$B$155,$A8,'Test Cases'!$N$2:$N$155,"Pass")</f>
        <v>0</v>
      </c>
      <c r="D8" s="9">
        <f>COUNTIFS('Test Cases'!$B$2:$B$155,$A8,'Test Cases'!$N$2:$N$155,"Fail")</f>
        <v>0</v>
      </c>
      <c r="E8" s="9">
        <f>COUNTIFS('Test Cases'!$B$2:$B$155,$A8,'Test Cases'!$N$2:$N$155,"Blocked")</f>
        <v>0</v>
      </c>
      <c r="F8" s="9">
        <f>COUNTIFS('Test Cases'!$B$2:$B$155,$A8,'Test Cases'!$N$2:$N$155,"N/A")</f>
        <v>0</v>
      </c>
      <c r="G8" s="9">
        <f>COUNTIFS('Test Cases'!$B$2:$B$155,$A8,'Test Cases'!$N$2:$N$155,"Not Run")</f>
        <v>16</v>
      </c>
      <c r="H8" s="10">
        <f t="shared" si="0"/>
        <v>0</v>
      </c>
      <c r="I8" s="10">
        <f t="shared" si="1"/>
        <v>0</v>
      </c>
    </row>
    <row r="9" spans="1:9" x14ac:dyDescent="0.3">
      <c r="A9" s="8" t="s">
        <v>37</v>
      </c>
      <c r="B9" s="11">
        <f t="shared" ref="B9:G9" si="2">SUM(B4:B8)</f>
        <v>154</v>
      </c>
      <c r="C9" s="11">
        <f t="shared" si="2"/>
        <v>0</v>
      </c>
      <c r="D9" s="11">
        <f t="shared" si="2"/>
        <v>0</v>
      </c>
      <c r="E9" s="11">
        <f t="shared" si="2"/>
        <v>0</v>
      </c>
      <c r="F9" s="11">
        <f t="shared" si="2"/>
        <v>0</v>
      </c>
      <c r="G9" s="11">
        <f t="shared" si="2"/>
        <v>154</v>
      </c>
      <c r="H9" s="12">
        <f t="shared" si="0"/>
        <v>0</v>
      </c>
      <c r="I9" s="12">
        <f t="shared" si="1"/>
        <v>0</v>
      </c>
    </row>
    <row r="11" spans="1:9" x14ac:dyDescent="0.3">
      <c r="A11" s="13" t="s">
        <v>50</v>
      </c>
    </row>
    <row r="12" spans="1:9" x14ac:dyDescent="0.3">
      <c r="A12" s="7" t="s">
        <v>51</v>
      </c>
      <c r="B12" s="7" t="s">
        <v>37</v>
      </c>
      <c r="C12" s="7" t="s">
        <v>38</v>
      </c>
      <c r="D12" s="7" t="s">
        <v>39</v>
      </c>
      <c r="E12" s="7" t="s">
        <v>40</v>
      </c>
      <c r="F12" s="7" t="s">
        <v>41</v>
      </c>
      <c r="G12" s="7" t="s">
        <v>42</v>
      </c>
    </row>
    <row r="13" spans="1:9" x14ac:dyDescent="0.3">
      <c r="A13" s="8" t="s">
        <v>52</v>
      </c>
      <c r="B13" s="9">
        <f>COUNTIF('Test Cases'!$H$2:$H$155,A13)</f>
        <v>102</v>
      </c>
      <c r="C13" s="9">
        <f>COUNTIFS('Test Cases'!$H$2:$H$155,$A13,'Test Cases'!$N$2:$N$155,"Pass")</f>
        <v>0</v>
      </c>
      <c r="D13" s="9">
        <f>COUNTIFS('Test Cases'!$H$2:$H$155,$A13,'Test Cases'!$N$2:$N$155,"Fail")</f>
        <v>0</v>
      </c>
      <c r="E13" s="9">
        <f>COUNTIFS('Test Cases'!$H$2:$H$155,$A13,'Test Cases'!$N$2:$N$155,"Blocked")</f>
        <v>0</v>
      </c>
      <c r="F13" s="9">
        <f>COUNTIFS('Test Cases'!$H$2:$H$155,$A13,'Test Cases'!$N$2:$N$155,"N/A")</f>
        <v>0</v>
      </c>
      <c r="G13" s="9">
        <f>COUNTIFS('Test Cases'!$H$2:$H$155,$A13,'Test Cases'!$N$2:$N$155,"Not Run")</f>
        <v>102</v>
      </c>
    </row>
    <row r="14" spans="1:9" x14ac:dyDescent="0.3">
      <c r="A14" s="8" t="s">
        <v>53</v>
      </c>
      <c r="B14" s="9">
        <f>COUNTIF('Test Cases'!$H$2:$H$155,A14)</f>
        <v>52</v>
      </c>
      <c r="C14" s="9">
        <f>COUNTIFS('Test Cases'!$H$2:$H$155,$A14,'Test Cases'!$N$2:$N$155,"Pass")</f>
        <v>0</v>
      </c>
      <c r="D14" s="9">
        <f>COUNTIFS('Test Cases'!$H$2:$H$155,$A14,'Test Cases'!$N$2:$N$155,"Fail")</f>
        <v>0</v>
      </c>
      <c r="E14" s="9">
        <f>COUNTIFS('Test Cases'!$H$2:$H$155,$A14,'Test Cases'!$N$2:$N$155,"Blocked")</f>
        <v>0</v>
      </c>
      <c r="F14" s="9">
        <f>COUNTIFS('Test Cases'!$H$2:$H$155,$A14,'Test Cases'!$N$2:$N$155,"N/A")</f>
        <v>0</v>
      </c>
      <c r="G14" s="9">
        <f>COUNTIFS('Test Cases'!$H$2:$H$155,$A14,'Test Cases'!$N$2:$N$155,"Not Run")</f>
        <v>52</v>
      </c>
    </row>
    <row r="16" spans="1:9" x14ac:dyDescent="0.3">
      <c r="A16" s="13" t="s">
        <v>54</v>
      </c>
    </row>
    <row r="17" spans="1:4" x14ac:dyDescent="0.3">
      <c r="A17" s="8" t="s">
        <v>55</v>
      </c>
      <c r="B17" s="9">
        <f>COUNTIF('Test Cases'!$M$2:$M$155,"Y")</f>
        <v>25</v>
      </c>
    </row>
    <row r="18" spans="1:4" x14ac:dyDescent="0.3">
      <c r="A18" s="8" t="s">
        <v>56</v>
      </c>
      <c r="B18" s="9">
        <f>COUNTIFS('Test Cases'!$M$2:$M$155,"Y",'Test Cases'!$N$2:$N$155,"&lt;&gt;Not Run")</f>
        <v>0</v>
      </c>
    </row>
    <row r="19" spans="1:4" x14ac:dyDescent="0.3">
      <c r="A19" s="8" t="s">
        <v>57</v>
      </c>
      <c r="B19" s="9">
        <f>COUNTIFS('Test Cases'!$M$2:$M$155,"Y",'Test Cases'!$N$2:$N$155,"Fail")</f>
        <v>0</v>
      </c>
    </row>
    <row r="21" spans="1:4" x14ac:dyDescent="0.3">
      <c r="A21" s="13" t="s">
        <v>58</v>
      </c>
    </row>
    <row r="22" spans="1:4" x14ac:dyDescent="0.3">
      <c r="A22" s="8" t="s">
        <v>59</v>
      </c>
      <c r="B22" s="9">
        <f>COUNTA(RTM!$A$2:$A$41)</f>
        <v>40</v>
      </c>
    </row>
    <row r="23" spans="1:4" x14ac:dyDescent="0.3">
      <c r="A23" s="8" t="s">
        <v>60</v>
      </c>
      <c r="B23" s="9">
        <f>COUNTIF(RTM!$H$2:$H$41,"&gt;0")</f>
        <v>40</v>
      </c>
    </row>
    <row r="24" spans="1:4" x14ac:dyDescent="0.3">
      <c r="A24" s="8" t="s">
        <v>61</v>
      </c>
      <c r="B24" s="10">
        <f>IF(B22=0,0,B23/B22)</f>
        <v>1</v>
      </c>
    </row>
    <row r="25" spans="1:4" x14ac:dyDescent="0.3">
      <c r="A25" s="8" t="s">
        <v>62</v>
      </c>
      <c r="B25" s="9">
        <f>COUNTIF(RTM!$O$2:$O$41,"Pass")</f>
        <v>0</v>
      </c>
    </row>
    <row r="26" spans="1:4" x14ac:dyDescent="0.3">
      <c r="A26" s="8" t="s">
        <v>63</v>
      </c>
      <c r="B26" s="9">
        <f>COUNTIF(RTM!$O$2:$O$41,"Fail")</f>
        <v>0</v>
      </c>
    </row>
    <row r="27" spans="1:4" x14ac:dyDescent="0.3">
      <c r="A27" s="8" t="s">
        <v>64</v>
      </c>
      <c r="B27" s="9">
        <f>COUNTIF(RTM!$O$2:$O$41,"In progress")</f>
        <v>0</v>
      </c>
    </row>
    <row r="28" spans="1:4" x14ac:dyDescent="0.3">
      <c r="A28" s="8" t="s">
        <v>65</v>
      </c>
      <c r="B28" s="9">
        <f>COUNTIF(RTM!$O$2:$O$41,"Not run")</f>
        <v>40</v>
      </c>
    </row>
    <row r="29" spans="1:4" x14ac:dyDescent="0.3">
      <c r="A29" s="8" t="s">
        <v>66</v>
      </c>
      <c r="B29" s="9">
        <f>COUNTIF(RTM!$O$2:$O$41,"No coverage")</f>
        <v>0</v>
      </c>
    </row>
    <row r="31" spans="1:4" x14ac:dyDescent="0.3">
      <c r="A31" s="13" t="s">
        <v>18</v>
      </c>
    </row>
    <row r="32" spans="1:4" x14ac:dyDescent="0.3">
      <c r="A32" s="7" t="s">
        <v>67</v>
      </c>
      <c r="B32" s="7" t="s">
        <v>52</v>
      </c>
      <c r="C32" s="7" t="s">
        <v>53</v>
      </c>
      <c r="D32" s="7" t="s">
        <v>37</v>
      </c>
    </row>
    <row r="33" spans="1:4" x14ac:dyDescent="0.3">
      <c r="A33" s="8" t="s">
        <v>68</v>
      </c>
      <c r="B33" s="9">
        <f>COUNTIFS(Findings!$I$2:$I$32,A33,Findings!$B$2:$B$32,"P1*")</f>
        <v>16</v>
      </c>
      <c r="C33" s="9">
        <f>COUNTIFS(Findings!$I$2:$I$32,A33,Findings!$B$2:$B$32,"P2*")</f>
        <v>15</v>
      </c>
      <c r="D33" s="9">
        <f t="shared" ref="D33:D38" si="3">B33+C33</f>
        <v>31</v>
      </c>
    </row>
    <row r="34" spans="1:4" x14ac:dyDescent="0.3">
      <c r="A34" s="8" t="s">
        <v>69</v>
      </c>
      <c r="B34" s="9">
        <f>COUNTIFS(Findings!$I$2:$I$32,A34,Findings!$B$2:$B$32,"P1*")</f>
        <v>0</v>
      </c>
      <c r="C34" s="9">
        <f>COUNTIFS(Findings!$I$2:$I$32,A34,Findings!$B$2:$B$32,"P2*")</f>
        <v>0</v>
      </c>
      <c r="D34" s="9">
        <f t="shared" si="3"/>
        <v>0</v>
      </c>
    </row>
    <row r="35" spans="1:4" x14ac:dyDescent="0.3">
      <c r="A35" s="8" t="s">
        <v>70</v>
      </c>
      <c r="B35" s="9">
        <f>COUNTIFS(Findings!$I$2:$I$32,A35,Findings!$B$2:$B$32,"P1*")</f>
        <v>0</v>
      </c>
      <c r="C35" s="9">
        <f>COUNTIFS(Findings!$I$2:$I$32,A35,Findings!$B$2:$B$32,"P2*")</f>
        <v>0</v>
      </c>
      <c r="D35" s="9">
        <f t="shared" si="3"/>
        <v>0</v>
      </c>
    </row>
    <row r="36" spans="1:4" x14ac:dyDescent="0.3">
      <c r="A36" s="8" t="s">
        <v>71</v>
      </c>
      <c r="B36" s="9">
        <f>COUNTIFS(Findings!$I$2:$I$32,A36,Findings!$B$2:$B$32,"P1*")</f>
        <v>0</v>
      </c>
      <c r="C36" s="9">
        <f>COUNTIFS(Findings!$I$2:$I$32,A36,Findings!$B$2:$B$32,"P2*")</f>
        <v>0</v>
      </c>
      <c r="D36" s="9">
        <f t="shared" si="3"/>
        <v>0</v>
      </c>
    </row>
    <row r="37" spans="1:4" x14ac:dyDescent="0.3">
      <c r="A37" s="8" t="s">
        <v>72</v>
      </c>
      <c r="B37" s="9">
        <f>COUNTIFS(Findings!$I$2:$I$32,A37,Findings!$B$2:$B$32,"P1*")</f>
        <v>0</v>
      </c>
      <c r="C37" s="9">
        <f>COUNTIFS(Findings!$I$2:$I$32,A37,Findings!$B$2:$B$32,"P2*")</f>
        <v>0</v>
      </c>
      <c r="D37" s="9">
        <f t="shared" si="3"/>
        <v>0</v>
      </c>
    </row>
    <row r="38" spans="1:4" x14ac:dyDescent="0.3">
      <c r="A38" s="8" t="s">
        <v>73</v>
      </c>
      <c r="B38" s="9">
        <f>COUNTIFS(Findings!$I$2:$I$32,A38,Findings!$B$2:$B$32,"P1*")</f>
        <v>0</v>
      </c>
      <c r="C38" s="9">
        <f>COUNTIFS(Findings!$I$2:$I$32,A38,Findings!$B$2:$B$32,"P2*")</f>
        <v>0</v>
      </c>
      <c r="D38" s="9">
        <f t="shared" si="3"/>
        <v>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55"/>
  <sheetViews>
    <sheetView workbookViewId="0">
      <pane xSplit="1" ySplit="1" topLeftCell="B2" activePane="bottomRight" state="frozen"/>
      <selection pane="topRight"/>
      <selection pane="bottomLeft"/>
      <selection pane="bottomRight"/>
    </sheetView>
  </sheetViews>
  <sheetFormatPr defaultRowHeight="14.4" x14ac:dyDescent="0.3"/>
  <cols>
    <col min="1" max="1" width="9" customWidth="1"/>
    <col min="2" max="2" width="12" customWidth="1"/>
    <col min="3" max="3" width="18" customWidth="1"/>
    <col min="4" max="4" width="14" customWidth="1"/>
    <col min="5" max="5" width="22" customWidth="1"/>
    <col min="6" max="7" width="50" customWidth="1"/>
    <col min="8" max="8" width="8" customWidth="1"/>
    <col min="9" max="10" width="18" customWidth="1"/>
    <col min="11" max="11" width="11" customWidth="1"/>
    <col min="12" max="12" width="13" customWidth="1"/>
    <col min="13" max="13" width="7" customWidth="1"/>
    <col min="14" max="14" width="11" customWidth="1"/>
    <col min="15" max="15" width="30" customWidth="1"/>
    <col min="16" max="17" width="14" customWidth="1"/>
    <col min="18" max="18" width="12" customWidth="1"/>
    <col min="19" max="19" width="13" customWidth="1"/>
    <col min="20" max="20" width="24" customWidth="1"/>
  </cols>
  <sheetData>
    <row r="1" spans="1:20" ht="31.95" customHeight="1" x14ac:dyDescent="0.3">
      <c r="A1" s="14" t="s">
        <v>74</v>
      </c>
      <c r="B1" s="14" t="s">
        <v>36</v>
      </c>
      <c r="C1" s="14" t="s">
        <v>46</v>
      </c>
      <c r="D1" s="14" t="s">
        <v>75</v>
      </c>
      <c r="E1" s="14" t="s">
        <v>76</v>
      </c>
      <c r="F1" s="14" t="s">
        <v>77</v>
      </c>
      <c r="G1" s="14" t="s">
        <v>78</v>
      </c>
      <c r="H1" s="14" t="s">
        <v>51</v>
      </c>
      <c r="I1" s="14" t="s">
        <v>79</v>
      </c>
      <c r="J1" s="14" t="s">
        <v>20</v>
      </c>
      <c r="K1" s="14" t="s">
        <v>80</v>
      </c>
      <c r="L1" s="14" t="s">
        <v>81</v>
      </c>
      <c r="M1" s="14" t="s">
        <v>82</v>
      </c>
      <c r="N1" s="14" t="s">
        <v>67</v>
      </c>
      <c r="O1" s="14" t="s">
        <v>83</v>
      </c>
      <c r="P1" s="14" t="s">
        <v>84</v>
      </c>
      <c r="Q1" s="14" t="s">
        <v>85</v>
      </c>
      <c r="R1" s="14" t="s">
        <v>86</v>
      </c>
      <c r="S1" s="14" t="s">
        <v>87</v>
      </c>
      <c r="T1" s="14" t="s">
        <v>88</v>
      </c>
    </row>
    <row r="2" spans="1:20" ht="22.8" x14ac:dyDescent="0.3">
      <c r="A2" s="11" t="s">
        <v>89</v>
      </c>
      <c r="B2" s="9" t="s">
        <v>45</v>
      </c>
      <c r="C2" s="15" t="s">
        <v>90</v>
      </c>
      <c r="D2" s="15" t="s">
        <v>91</v>
      </c>
      <c r="E2" s="15" t="s">
        <v>92</v>
      </c>
      <c r="F2" s="15" t="s">
        <v>93</v>
      </c>
      <c r="G2" s="15" t="s">
        <v>94</v>
      </c>
      <c r="H2" s="9" t="s">
        <v>52</v>
      </c>
      <c r="I2" s="15" t="s">
        <v>95</v>
      </c>
      <c r="J2" s="15" t="s">
        <v>96</v>
      </c>
      <c r="K2" s="9"/>
      <c r="L2" s="9" t="s">
        <v>97</v>
      </c>
      <c r="M2" s="9" t="s">
        <v>98</v>
      </c>
      <c r="N2" s="16" t="s">
        <v>42</v>
      </c>
      <c r="O2" s="17"/>
      <c r="P2" s="17"/>
      <c r="Q2" s="17"/>
      <c r="R2" s="18"/>
      <c r="S2" s="16"/>
      <c r="T2" s="17"/>
    </row>
    <row r="3" spans="1:20" ht="22.8" x14ac:dyDescent="0.3">
      <c r="A3" s="11" t="s">
        <v>99</v>
      </c>
      <c r="B3" s="9" t="s">
        <v>45</v>
      </c>
      <c r="C3" s="15" t="s">
        <v>90</v>
      </c>
      <c r="D3" s="15" t="s">
        <v>91</v>
      </c>
      <c r="E3" s="15" t="s">
        <v>92</v>
      </c>
      <c r="F3" s="15" t="s">
        <v>100</v>
      </c>
      <c r="G3" s="15" t="s">
        <v>101</v>
      </c>
      <c r="H3" s="9" t="s">
        <v>52</v>
      </c>
      <c r="I3" s="15" t="s">
        <v>95</v>
      </c>
      <c r="J3" s="15" t="s">
        <v>102</v>
      </c>
      <c r="K3" s="9"/>
      <c r="L3" s="9" t="s">
        <v>97</v>
      </c>
      <c r="M3" s="9" t="s">
        <v>103</v>
      </c>
      <c r="N3" s="16" t="s">
        <v>42</v>
      </c>
      <c r="O3" s="17"/>
      <c r="P3" s="17"/>
      <c r="Q3" s="17"/>
      <c r="R3" s="18"/>
      <c r="S3" s="16"/>
      <c r="T3" s="17"/>
    </row>
    <row r="4" spans="1:20" ht="22.8" x14ac:dyDescent="0.3">
      <c r="A4" s="11" t="s">
        <v>104</v>
      </c>
      <c r="B4" s="9" t="s">
        <v>45</v>
      </c>
      <c r="C4" s="15" t="s">
        <v>90</v>
      </c>
      <c r="D4" s="15" t="s">
        <v>91</v>
      </c>
      <c r="E4" s="15" t="s">
        <v>92</v>
      </c>
      <c r="F4" s="15" t="s">
        <v>105</v>
      </c>
      <c r="G4" s="15" t="s">
        <v>106</v>
      </c>
      <c r="H4" s="9" t="s">
        <v>52</v>
      </c>
      <c r="I4" s="15" t="s">
        <v>95</v>
      </c>
      <c r="J4" s="15" t="s">
        <v>107</v>
      </c>
      <c r="K4" s="9"/>
      <c r="L4" s="9" t="s">
        <v>97</v>
      </c>
      <c r="M4" s="9" t="s">
        <v>98</v>
      </c>
      <c r="N4" s="16" t="s">
        <v>42</v>
      </c>
      <c r="O4" s="17"/>
      <c r="P4" s="17"/>
      <c r="Q4" s="17"/>
      <c r="R4" s="18"/>
      <c r="S4" s="16"/>
      <c r="T4" s="17"/>
    </row>
    <row r="5" spans="1:20" ht="22.8" x14ac:dyDescent="0.3">
      <c r="A5" s="11" t="s">
        <v>108</v>
      </c>
      <c r="B5" s="9" t="s">
        <v>45</v>
      </c>
      <c r="C5" s="15" t="s">
        <v>90</v>
      </c>
      <c r="D5" s="15" t="s">
        <v>91</v>
      </c>
      <c r="E5" s="15" t="s">
        <v>92</v>
      </c>
      <c r="F5" s="15" t="s">
        <v>109</v>
      </c>
      <c r="G5" s="15" t="s">
        <v>110</v>
      </c>
      <c r="H5" s="9" t="s">
        <v>52</v>
      </c>
      <c r="I5" s="15" t="s">
        <v>95</v>
      </c>
      <c r="J5" s="15" t="s">
        <v>102</v>
      </c>
      <c r="K5" s="9"/>
      <c r="L5" s="9" t="s">
        <v>97</v>
      </c>
      <c r="M5" s="9" t="s">
        <v>98</v>
      </c>
      <c r="N5" s="16" t="s">
        <v>42</v>
      </c>
      <c r="O5" s="17"/>
      <c r="P5" s="17"/>
      <c r="Q5" s="17"/>
      <c r="R5" s="18"/>
      <c r="S5" s="16"/>
      <c r="T5" s="17"/>
    </row>
    <row r="6" spans="1:20" ht="45.6" x14ac:dyDescent="0.3">
      <c r="A6" s="11" t="s">
        <v>111</v>
      </c>
      <c r="B6" s="9" t="s">
        <v>45</v>
      </c>
      <c r="C6" s="15" t="s">
        <v>90</v>
      </c>
      <c r="D6" s="15" t="s">
        <v>91</v>
      </c>
      <c r="E6" s="15" t="s">
        <v>92</v>
      </c>
      <c r="F6" s="15" t="s">
        <v>112</v>
      </c>
      <c r="G6" s="15" t="s">
        <v>113</v>
      </c>
      <c r="H6" s="9" t="s">
        <v>52</v>
      </c>
      <c r="I6" s="15" t="s">
        <v>95</v>
      </c>
      <c r="J6" s="15" t="s">
        <v>102</v>
      </c>
      <c r="K6" s="9"/>
      <c r="L6" s="9" t="s">
        <v>97</v>
      </c>
      <c r="M6" s="9" t="s">
        <v>98</v>
      </c>
      <c r="N6" s="16" t="s">
        <v>42</v>
      </c>
      <c r="O6" s="17"/>
      <c r="P6" s="17"/>
      <c r="Q6" s="17"/>
      <c r="R6" s="18"/>
      <c r="S6" s="16"/>
      <c r="T6" s="17"/>
    </row>
    <row r="7" spans="1:20" ht="22.8" x14ac:dyDescent="0.3">
      <c r="A7" s="11" t="s">
        <v>114</v>
      </c>
      <c r="B7" s="9" t="s">
        <v>45</v>
      </c>
      <c r="C7" s="15" t="s">
        <v>90</v>
      </c>
      <c r="D7" s="15" t="s">
        <v>91</v>
      </c>
      <c r="E7" s="15" t="s">
        <v>92</v>
      </c>
      <c r="F7" s="15" t="s">
        <v>115</v>
      </c>
      <c r="G7" s="15" t="s">
        <v>116</v>
      </c>
      <c r="H7" s="9" t="s">
        <v>52</v>
      </c>
      <c r="I7" s="15" t="s">
        <v>95</v>
      </c>
      <c r="J7" s="15" t="s">
        <v>117</v>
      </c>
      <c r="K7" s="9"/>
      <c r="L7" s="9" t="s">
        <v>97</v>
      </c>
      <c r="M7" s="9" t="s">
        <v>98</v>
      </c>
      <c r="N7" s="16" t="s">
        <v>42</v>
      </c>
      <c r="O7" s="17"/>
      <c r="P7" s="17"/>
      <c r="Q7" s="17"/>
      <c r="R7" s="18"/>
      <c r="S7" s="16"/>
      <c r="T7" s="17"/>
    </row>
    <row r="8" spans="1:20" ht="22.8" x14ac:dyDescent="0.3">
      <c r="A8" s="11" t="s">
        <v>118</v>
      </c>
      <c r="B8" s="9" t="s">
        <v>45</v>
      </c>
      <c r="C8" s="15" t="s">
        <v>90</v>
      </c>
      <c r="D8" s="15" t="s">
        <v>91</v>
      </c>
      <c r="E8" s="15" t="s">
        <v>92</v>
      </c>
      <c r="F8" s="15" t="s">
        <v>119</v>
      </c>
      <c r="G8" s="15" t="s">
        <v>120</v>
      </c>
      <c r="H8" s="9" t="s">
        <v>52</v>
      </c>
      <c r="I8" s="15" t="s">
        <v>95</v>
      </c>
      <c r="J8" s="15" t="s">
        <v>121</v>
      </c>
      <c r="K8" s="9"/>
      <c r="L8" s="9" t="s">
        <v>97</v>
      </c>
      <c r="M8" s="9" t="s">
        <v>98</v>
      </c>
      <c r="N8" s="16" t="s">
        <v>42</v>
      </c>
      <c r="O8" s="17"/>
      <c r="P8" s="17"/>
      <c r="Q8" s="17"/>
      <c r="R8" s="18"/>
      <c r="S8" s="16"/>
      <c r="T8" s="17"/>
    </row>
    <row r="9" spans="1:20" ht="34.200000000000003" x14ac:dyDescent="0.3">
      <c r="A9" s="11" t="s">
        <v>122</v>
      </c>
      <c r="B9" s="9" t="s">
        <v>45</v>
      </c>
      <c r="C9" s="15" t="s">
        <v>90</v>
      </c>
      <c r="D9" s="15" t="s">
        <v>91</v>
      </c>
      <c r="E9" s="15" t="s">
        <v>92</v>
      </c>
      <c r="F9" s="15" t="s">
        <v>123</v>
      </c>
      <c r="G9" s="15" t="s">
        <v>124</v>
      </c>
      <c r="H9" s="9" t="s">
        <v>52</v>
      </c>
      <c r="I9" s="15" t="s">
        <v>95</v>
      </c>
      <c r="J9" s="15" t="s">
        <v>125</v>
      </c>
      <c r="K9" s="9"/>
      <c r="L9" s="9" t="s">
        <v>97</v>
      </c>
      <c r="M9" s="9" t="s">
        <v>103</v>
      </c>
      <c r="N9" s="16" t="s">
        <v>42</v>
      </c>
      <c r="O9" s="17"/>
      <c r="P9" s="17"/>
      <c r="Q9" s="17"/>
      <c r="R9" s="18"/>
      <c r="S9" s="16"/>
      <c r="T9" s="17"/>
    </row>
    <row r="10" spans="1:20" ht="34.200000000000003" x14ac:dyDescent="0.3">
      <c r="A10" s="11" t="s">
        <v>126</v>
      </c>
      <c r="B10" s="9" t="s">
        <v>45</v>
      </c>
      <c r="C10" s="15" t="s">
        <v>90</v>
      </c>
      <c r="D10" s="15" t="s">
        <v>91</v>
      </c>
      <c r="E10" s="15" t="s">
        <v>92</v>
      </c>
      <c r="F10" s="15" t="s">
        <v>127</v>
      </c>
      <c r="G10" s="15" t="s">
        <v>128</v>
      </c>
      <c r="H10" s="9" t="s">
        <v>52</v>
      </c>
      <c r="I10" s="15" t="s">
        <v>95</v>
      </c>
      <c r="J10" s="15" t="s">
        <v>129</v>
      </c>
      <c r="K10" s="9"/>
      <c r="L10" s="9" t="s">
        <v>97</v>
      </c>
      <c r="M10" s="9" t="s">
        <v>98</v>
      </c>
      <c r="N10" s="16" t="s">
        <v>42</v>
      </c>
      <c r="O10" s="17"/>
      <c r="P10" s="17"/>
      <c r="Q10" s="17"/>
      <c r="R10" s="18"/>
      <c r="S10" s="16"/>
      <c r="T10" s="17"/>
    </row>
    <row r="11" spans="1:20" ht="22.8" x14ac:dyDescent="0.3">
      <c r="A11" s="11" t="s">
        <v>130</v>
      </c>
      <c r="B11" s="9" t="s">
        <v>45</v>
      </c>
      <c r="C11" s="15" t="s">
        <v>90</v>
      </c>
      <c r="D11" s="15" t="s">
        <v>91</v>
      </c>
      <c r="E11" s="15" t="s">
        <v>92</v>
      </c>
      <c r="F11" s="15" t="s">
        <v>131</v>
      </c>
      <c r="G11" s="15" t="s">
        <v>132</v>
      </c>
      <c r="H11" s="9" t="s">
        <v>52</v>
      </c>
      <c r="I11" s="15" t="s">
        <v>95</v>
      </c>
      <c r="J11" s="15" t="s">
        <v>133</v>
      </c>
      <c r="K11" s="9"/>
      <c r="L11" s="9" t="s">
        <v>97</v>
      </c>
      <c r="M11" s="9" t="s">
        <v>98</v>
      </c>
      <c r="N11" s="16" t="s">
        <v>42</v>
      </c>
      <c r="O11" s="17"/>
      <c r="P11" s="17"/>
      <c r="Q11" s="17"/>
      <c r="R11" s="18"/>
      <c r="S11" s="16"/>
      <c r="T11" s="17"/>
    </row>
    <row r="12" spans="1:20" ht="22.8" x14ac:dyDescent="0.3">
      <c r="A12" s="11" t="s">
        <v>134</v>
      </c>
      <c r="B12" s="9" t="s">
        <v>45</v>
      </c>
      <c r="C12" s="15" t="s">
        <v>90</v>
      </c>
      <c r="D12" s="15" t="s">
        <v>91</v>
      </c>
      <c r="E12" s="15" t="s">
        <v>92</v>
      </c>
      <c r="F12" s="15" t="s">
        <v>135</v>
      </c>
      <c r="G12" s="15" t="s">
        <v>136</v>
      </c>
      <c r="H12" s="9" t="s">
        <v>52</v>
      </c>
      <c r="I12" s="15" t="s">
        <v>95</v>
      </c>
      <c r="J12" s="15" t="s">
        <v>137</v>
      </c>
      <c r="K12" s="9"/>
      <c r="L12" s="9" t="s">
        <v>97</v>
      </c>
      <c r="M12" s="9" t="s">
        <v>98</v>
      </c>
      <c r="N12" s="16" t="s">
        <v>42</v>
      </c>
      <c r="O12" s="17"/>
      <c r="P12" s="17"/>
      <c r="Q12" s="17"/>
      <c r="R12" s="18"/>
      <c r="S12" s="16"/>
      <c r="T12" s="17"/>
    </row>
    <row r="13" spans="1:20" ht="22.8" x14ac:dyDescent="0.3">
      <c r="A13" s="11" t="s">
        <v>138</v>
      </c>
      <c r="B13" s="9" t="s">
        <v>45</v>
      </c>
      <c r="C13" s="15" t="s">
        <v>90</v>
      </c>
      <c r="D13" s="15" t="s">
        <v>91</v>
      </c>
      <c r="E13" s="15" t="s">
        <v>92</v>
      </c>
      <c r="F13" s="15" t="s">
        <v>139</v>
      </c>
      <c r="G13" s="15" t="s">
        <v>140</v>
      </c>
      <c r="H13" s="9" t="s">
        <v>52</v>
      </c>
      <c r="I13" s="15" t="s">
        <v>95</v>
      </c>
      <c r="J13" s="15" t="s">
        <v>107</v>
      </c>
      <c r="K13" s="9"/>
      <c r="L13" s="9" t="s">
        <v>97</v>
      </c>
      <c r="M13" s="9" t="s">
        <v>98</v>
      </c>
      <c r="N13" s="16" t="s">
        <v>42</v>
      </c>
      <c r="O13" s="17"/>
      <c r="P13" s="17"/>
      <c r="Q13" s="17"/>
      <c r="R13" s="18"/>
      <c r="S13" s="16"/>
      <c r="T13" s="17"/>
    </row>
    <row r="14" spans="1:20" ht="34.200000000000003" x14ac:dyDescent="0.3">
      <c r="A14" s="11" t="s">
        <v>141</v>
      </c>
      <c r="B14" s="9" t="s">
        <v>45</v>
      </c>
      <c r="C14" s="15" t="s">
        <v>90</v>
      </c>
      <c r="D14" s="15" t="s">
        <v>91</v>
      </c>
      <c r="E14" s="15" t="s">
        <v>92</v>
      </c>
      <c r="F14" s="15" t="s">
        <v>142</v>
      </c>
      <c r="G14" s="15" t="s">
        <v>143</v>
      </c>
      <c r="H14" s="9" t="s">
        <v>52</v>
      </c>
      <c r="I14" s="15" t="s">
        <v>95</v>
      </c>
      <c r="J14" s="15" t="s">
        <v>144</v>
      </c>
      <c r="K14" s="9"/>
      <c r="L14" s="9" t="s">
        <v>97</v>
      </c>
      <c r="M14" s="9" t="s">
        <v>98</v>
      </c>
      <c r="N14" s="16" t="s">
        <v>42</v>
      </c>
      <c r="O14" s="17"/>
      <c r="P14" s="17"/>
      <c r="Q14" s="17"/>
      <c r="R14" s="18"/>
      <c r="S14" s="16"/>
      <c r="T14" s="17"/>
    </row>
    <row r="15" spans="1:20" ht="22.8" x14ac:dyDescent="0.3">
      <c r="A15" s="11" t="s">
        <v>145</v>
      </c>
      <c r="B15" s="9" t="s">
        <v>45</v>
      </c>
      <c r="C15" s="15" t="s">
        <v>90</v>
      </c>
      <c r="D15" s="15" t="s">
        <v>91</v>
      </c>
      <c r="E15" s="15" t="s">
        <v>92</v>
      </c>
      <c r="F15" s="15" t="s">
        <v>146</v>
      </c>
      <c r="G15" s="15" t="s">
        <v>147</v>
      </c>
      <c r="H15" s="9" t="s">
        <v>52</v>
      </c>
      <c r="I15" s="15" t="s">
        <v>95</v>
      </c>
      <c r="J15" s="15" t="s">
        <v>148</v>
      </c>
      <c r="K15" s="9" t="s">
        <v>149</v>
      </c>
      <c r="L15" s="9" t="s">
        <v>150</v>
      </c>
      <c r="M15" s="9" t="s">
        <v>103</v>
      </c>
      <c r="N15" s="16" t="s">
        <v>42</v>
      </c>
      <c r="O15" s="17"/>
      <c r="P15" s="17"/>
      <c r="Q15" s="17"/>
      <c r="R15" s="18"/>
      <c r="S15" s="16"/>
      <c r="T15" s="17"/>
    </row>
    <row r="16" spans="1:20" ht="22.8" x14ac:dyDescent="0.3">
      <c r="A16" s="11" t="s">
        <v>151</v>
      </c>
      <c r="B16" s="9" t="s">
        <v>45</v>
      </c>
      <c r="C16" s="15" t="s">
        <v>90</v>
      </c>
      <c r="D16" s="15" t="s">
        <v>91</v>
      </c>
      <c r="E16" s="15" t="s">
        <v>92</v>
      </c>
      <c r="F16" s="15" t="s">
        <v>152</v>
      </c>
      <c r="G16" s="15" t="s">
        <v>153</v>
      </c>
      <c r="H16" s="9" t="s">
        <v>52</v>
      </c>
      <c r="I16" s="15" t="s">
        <v>95</v>
      </c>
      <c r="J16" s="15" t="s">
        <v>133</v>
      </c>
      <c r="K16" s="9"/>
      <c r="L16" s="9" t="s">
        <v>97</v>
      </c>
      <c r="M16" s="9" t="s">
        <v>98</v>
      </c>
      <c r="N16" s="16" t="s">
        <v>42</v>
      </c>
      <c r="O16" s="17"/>
      <c r="P16" s="17"/>
      <c r="Q16" s="17"/>
      <c r="R16" s="18"/>
      <c r="S16" s="16"/>
      <c r="T16" s="17"/>
    </row>
    <row r="17" spans="1:20" ht="22.8" x14ac:dyDescent="0.3">
      <c r="A17" s="11" t="s">
        <v>154</v>
      </c>
      <c r="B17" s="9" t="s">
        <v>45</v>
      </c>
      <c r="C17" s="15" t="s">
        <v>90</v>
      </c>
      <c r="D17" s="15" t="s">
        <v>91</v>
      </c>
      <c r="E17" s="15" t="s">
        <v>92</v>
      </c>
      <c r="F17" s="15" t="s">
        <v>155</v>
      </c>
      <c r="G17" s="15" t="s">
        <v>156</v>
      </c>
      <c r="H17" s="9" t="s">
        <v>52</v>
      </c>
      <c r="I17" s="15" t="s">
        <v>95</v>
      </c>
      <c r="J17" s="15" t="s">
        <v>157</v>
      </c>
      <c r="K17" s="9"/>
      <c r="L17" s="9" t="s">
        <v>97</v>
      </c>
      <c r="M17" s="9" t="s">
        <v>103</v>
      </c>
      <c r="N17" s="16" t="s">
        <v>42</v>
      </c>
      <c r="O17" s="17"/>
      <c r="P17" s="17"/>
      <c r="Q17" s="17"/>
      <c r="R17" s="18"/>
      <c r="S17" s="16"/>
      <c r="T17" s="17"/>
    </row>
    <row r="18" spans="1:20" ht="22.8" x14ac:dyDescent="0.3">
      <c r="A18" s="11" t="s">
        <v>158</v>
      </c>
      <c r="B18" s="9" t="s">
        <v>45</v>
      </c>
      <c r="C18" s="15" t="s">
        <v>90</v>
      </c>
      <c r="D18" s="15" t="s">
        <v>91</v>
      </c>
      <c r="E18" s="15" t="s">
        <v>92</v>
      </c>
      <c r="F18" s="15" t="s">
        <v>159</v>
      </c>
      <c r="G18" s="15" t="s">
        <v>160</v>
      </c>
      <c r="H18" s="9" t="s">
        <v>52</v>
      </c>
      <c r="I18" s="15" t="s">
        <v>95</v>
      </c>
      <c r="J18" s="15" t="s">
        <v>161</v>
      </c>
      <c r="K18" s="9"/>
      <c r="L18" s="9" t="s">
        <v>97</v>
      </c>
      <c r="M18" s="9" t="s">
        <v>98</v>
      </c>
      <c r="N18" s="16" t="s">
        <v>42</v>
      </c>
      <c r="O18" s="17"/>
      <c r="P18" s="17"/>
      <c r="Q18" s="17"/>
      <c r="R18" s="18"/>
      <c r="S18" s="16"/>
      <c r="T18" s="17"/>
    </row>
    <row r="19" spans="1:20" ht="34.200000000000003" x14ac:dyDescent="0.3">
      <c r="A19" s="11" t="s">
        <v>162</v>
      </c>
      <c r="B19" s="9" t="s">
        <v>45</v>
      </c>
      <c r="C19" s="15" t="s">
        <v>90</v>
      </c>
      <c r="D19" s="15" t="s">
        <v>91</v>
      </c>
      <c r="E19" s="15" t="s">
        <v>92</v>
      </c>
      <c r="F19" s="15" t="s">
        <v>163</v>
      </c>
      <c r="G19" s="15" t="s">
        <v>164</v>
      </c>
      <c r="H19" s="9" t="s">
        <v>52</v>
      </c>
      <c r="I19" s="15" t="s">
        <v>95</v>
      </c>
      <c r="J19" s="15" t="s">
        <v>165</v>
      </c>
      <c r="K19" s="9" t="s">
        <v>166</v>
      </c>
      <c r="L19" s="9" t="s">
        <v>150</v>
      </c>
      <c r="M19" s="9" t="s">
        <v>98</v>
      </c>
      <c r="N19" s="16" t="s">
        <v>42</v>
      </c>
      <c r="O19" s="17"/>
      <c r="P19" s="17"/>
      <c r="Q19" s="17"/>
      <c r="R19" s="18"/>
      <c r="S19" s="16"/>
      <c r="T19" s="17"/>
    </row>
    <row r="20" spans="1:20" ht="22.8" x14ac:dyDescent="0.3">
      <c r="A20" s="11" t="s">
        <v>167</v>
      </c>
      <c r="B20" s="9" t="s">
        <v>45</v>
      </c>
      <c r="C20" s="15" t="s">
        <v>90</v>
      </c>
      <c r="D20" s="15" t="s">
        <v>91</v>
      </c>
      <c r="E20" s="15" t="s">
        <v>92</v>
      </c>
      <c r="F20" s="15" t="s">
        <v>168</v>
      </c>
      <c r="G20" s="15" t="s">
        <v>169</v>
      </c>
      <c r="H20" s="9" t="s">
        <v>52</v>
      </c>
      <c r="I20" s="15" t="s">
        <v>95</v>
      </c>
      <c r="J20" s="15" t="s">
        <v>133</v>
      </c>
      <c r="K20" s="9"/>
      <c r="L20" s="9" t="s">
        <v>97</v>
      </c>
      <c r="M20" s="9" t="s">
        <v>103</v>
      </c>
      <c r="N20" s="16" t="s">
        <v>42</v>
      </c>
      <c r="O20" s="17"/>
      <c r="P20" s="17"/>
      <c r="Q20" s="17"/>
      <c r="R20" s="18"/>
      <c r="S20" s="16"/>
      <c r="T20" s="17"/>
    </row>
    <row r="21" spans="1:20" ht="45.6" x14ac:dyDescent="0.3">
      <c r="A21" s="11" t="s">
        <v>170</v>
      </c>
      <c r="B21" s="9" t="s">
        <v>45</v>
      </c>
      <c r="C21" s="15" t="s">
        <v>90</v>
      </c>
      <c r="D21" s="15" t="s">
        <v>91</v>
      </c>
      <c r="E21" s="15" t="s">
        <v>92</v>
      </c>
      <c r="F21" s="15" t="s">
        <v>171</v>
      </c>
      <c r="G21" s="15" t="s">
        <v>172</v>
      </c>
      <c r="H21" s="9" t="s">
        <v>52</v>
      </c>
      <c r="I21" s="15" t="s">
        <v>95</v>
      </c>
      <c r="J21" s="15" t="s">
        <v>173</v>
      </c>
      <c r="K21" s="9"/>
      <c r="L21" s="9" t="s">
        <v>97</v>
      </c>
      <c r="M21" s="9" t="s">
        <v>103</v>
      </c>
      <c r="N21" s="16" t="s">
        <v>42</v>
      </c>
      <c r="O21" s="17"/>
      <c r="P21" s="17"/>
      <c r="Q21" s="17"/>
      <c r="R21" s="18"/>
      <c r="S21" s="16"/>
      <c r="T21" s="17"/>
    </row>
    <row r="22" spans="1:20" ht="34.200000000000003" x14ac:dyDescent="0.3">
      <c r="A22" s="11" t="s">
        <v>174</v>
      </c>
      <c r="B22" s="9" t="s">
        <v>46</v>
      </c>
      <c r="C22" s="15" t="s">
        <v>175</v>
      </c>
      <c r="D22" s="15" t="s">
        <v>176</v>
      </c>
      <c r="E22" s="15" t="s">
        <v>177</v>
      </c>
      <c r="F22" s="15" t="s">
        <v>178</v>
      </c>
      <c r="G22" s="15" t="s">
        <v>179</v>
      </c>
      <c r="H22" s="9" t="s">
        <v>52</v>
      </c>
      <c r="I22" s="15" t="s">
        <v>180</v>
      </c>
      <c r="J22" s="15" t="s">
        <v>181</v>
      </c>
      <c r="K22" s="9"/>
      <c r="L22" s="9" t="s">
        <v>97</v>
      </c>
      <c r="M22" s="9" t="s">
        <v>103</v>
      </c>
      <c r="N22" s="16" t="s">
        <v>42</v>
      </c>
      <c r="O22" s="17"/>
      <c r="P22" s="17"/>
      <c r="Q22" s="17"/>
      <c r="R22" s="18"/>
      <c r="S22" s="16"/>
      <c r="T22" s="17"/>
    </row>
    <row r="23" spans="1:20" ht="22.8" x14ac:dyDescent="0.3">
      <c r="A23" s="11" t="s">
        <v>182</v>
      </c>
      <c r="B23" s="9" t="s">
        <v>46</v>
      </c>
      <c r="C23" s="15" t="s">
        <v>175</v>
      </c>
      <c r="D23" s="15" t="s">
        <v>183</v>
      </c>
      <c r="E23" s="15" t="s">
        <v>95</v>
      </c>
      <c r="F23" s="15" t="s">
        <v>184</v>
      </c>
      <c r="G23" s="15" t="s">
        <v>185</v>
      </c>
      <c r="H23" s="9" t="s">
        <v>52</v>
      </c>
      <c r="I23" s="15" t="s">
        <v>186</v>
      </c>
      <c r="J23" s="15" t="s">
        <v>187</v>
      </c>
      <c r="K23" s="9"/>
      <c r="L23" s="9" t="s">
        <v>97</v>
      </c>
      <c r="M23" s="9" t="s">
        <v>103</v>
      </c>
      <c r="N23" s="16" t="s">
        <v>42</v>
      </c>
      <c r="O23" s="17"/>
      <c r="P23" s="17"/>
      <c r="Q23" s="17"/>
      <c r="R23" s="18"/>
      <c r="S23" s="16"/>
      <c r="T23" s="17"/>
    </row>
    <row r="24" spans="1:20" ht="22.8" x14ac:dyDescent="0.3">
      <c r="A24" s="11" t="s">
        <v>188</v>
      </c>
      <c r="B24" s="9" t="s">
        <v>46</v>
      </c>
      <c r="C24" s="15" t="s">
        <v>175</v>
      </c>
      <c r="D24" s="15" t="s">
        <v>176</v>
      </c>
      <c r="E24" s="15" t="s">
        <v>189</v>
      </c>
      <c r="F24" s="15" t="s">
        <v>190</v>
      </c>
      <c r="G24" s="15" t="s">
        <v>191</v>
      </c>
      <c r="H24" s="9" t="s">
        <v>53</v>
      </c>
      <c r="I24" s="15" t="s">
        <v>186</v>
      </c>
      <c r="J24" s="15" t="s">
        <v>187</v>
      </c>
      <c r="K24" s="9"/>
      <c r="L24" s="9" t="s">
        <v>97</v>
      </c>
      <c r="M24" s="9" t="s">
        <v>103</v>
      </c>
      <c r="N24" s="16" t="s">
        <v>42</v>
      </c>
      <c r="O24" s="17"/>
      <c r="P24" s="17"/>
      <c r="Q24" s="17"/>
      <c r="R24" s="18"/>
      <c r="S24" s="16"/>
      <c r="T24" s="17"/>
    </row>
    <row r="25" spans="1:20" ht="22.8" x14ac:dyDescent="0.3">
      <c r="A25" s="11" t="s">
        <v>192</v>
      </c>
      <c r="B25" s="9" t="s">
        <v>46</v>
      </c>
      <c r="C25" s="15" t="s">
        <v>175</v>
      </c>
      <c r="D25" s="15" t="s">
        <v>176</v>
      </c>
      <c r="E25" s="15" t="s">
        <v>95</v>
      </c>
      <c r="F25" s="15" t="s">
        <v>193</v>
      </c>
      <c r="G25" s="15" t="s">
        <v>194</v>
      </c>
      <c r="H25" s="9" t="s">
        <v>53</v>
      </c>
      <c r="I25" s="15" t="s">
        <v>95</v>
      </c>
      <c r="J25" s="15" t="s">
        <v>125</v>
      </c>
      <c r="K25" s="9"/>
      <c r="L25" s="9" t="s">
        <v>97</v>
      </c>
      <c r="M25" s="9" t="s">
        <v>103</v>
      </c>
      <c r="N25" s="16" t="s">
        <v>42</v>
      </c>
      <c r="O25" s="17"/>
      <c r="P25" s="17"/>
      <c r="Q25" s="17"/>
      <c r="R25" s="18"/>
      <c r="S25" s="16"/>
      <c r="T25" s="17"/>
    </row>
    <row r="26" spans="1:20" ht="22.8" x14ac:dyDescent="0.3">
      <c r="A26" s="11" t="s">
        <v>195</v>
      </c>
      <c r="B26" s="9" t="s">
        <v>46</v>
      </c>
      <c r="C26" s="15" t="s">
        <v>175</v>
      </c>
      <c r="D26" s="15" t="s">
        <v>196</v>
      </c>
      <c r="E26" s="15" t="s">
        <v>197</v>
      </c>
      <c r="F26" s="15" t="s">
        <v>198</v>
      </c>
      <c r="G26" s="15" t="s">
        <v>199</v>
      </c>
      <c r="H26" s="9" t="s">
        <v>52</v>
      </c>
      <c r="I26" s="15" t="s">
        <v>107</v>
      </c>
      <c r="J26" s="15" t="s">
        <v>107</v>
      </c>
      <c r="K26" s="9"/>
      <c r="L26" s="9" t="s">
        <v>97</v>
      </c>
      <c r="M26" s="9" t="s">
        <v>103</v>
      </c>
      <c r="N26" s="16" t="s">
        <v>42</v>
      </c>
      <c r="O26" s="17"/>
      <c r="P26" s="17"/>
      <c r="Q26" s="17"/>
      <c r="R26" s="18"/>
      <c r="S26" s="16"/>
      <c r="T26" s="17"/>
    </row>
    <row r="27" spans="1:20" ht="22.8" x14ac:dyDescent="0.3">
      <c r="A27" s="11" t="s">
        <v>200</v>
      </c>
      <c r="B27" s="9" t="s">
        <v>46</v>
      </c>
      <c r="C27" s="15" t="s">
        <v>175</v>
      </c>
      <c r="D27" s="15" t="s">
        <v>201</v>
      </c>
      <c r="E27" s="15" t="s">
        <v>95</v>
      </c>
      <c r="F27" s="15" t="s">
        <v>202</v>
      </c>
      <c r="G27" s="15" t="s">
        <v>203</v>
      </c>
      <c r="H27" s="9" t="s">
        <v>52</v>
      </c>
      <c r="I27" s="15" t="s">
        <v>204</v>
      </c>
      <c r="J27" s="15" t="s">
        <v>161</v>
      </c>
      <c r="K27" s="9"/>
      <c r="L27" s="9" t="s">
        <v>97</v>
      </c>
      <c r="M27" s="9" t="s">
        <v>103</v>
      </c>
      <c r="N27" s="16" t="s">
        <v>42</v>
      </c>
      <c r="O27" s="17"/>
      <c r="P27" s="17"/>
      <c r="Q27" s="17"/>
      <c r="R27" s="18"/>
      <c r="S27" s="16"/>
      <c r="T27" s="17"/>
    </row>
    <row r="28" spans="1:20" ht="34.200000000000003" x14ac:dyDescent="0.3">
      <c r="A28" s="11" t="s">
        <v>205</v>
      </c>
      <c r="B28" s="9" t="s">
        <v>46</v>
      </c>
      <c r="C28" s="15" t="s">
        <v>175</v>
      </c>
      <c r="D28" s="15" t="s">
        <v>183</v>
      </c>
      <c r="E28" s="15" t="s">
        <v>206</v>
      </c>
      <c r="F28" s="15" t="s">
        <v>207</v>
      </c>
      <c r="G28" s="15" t="s">
        <v>208</v>
      </c>
      <c r="H28" s="9" t="s">
        <v>53</v>
      </c>
      <c r="I28" s="15" t="s">
        <v>95</v>
      </c>
      <c r="J28" s="15" t="s">
        <v>125</v>
      </c>
      <c r="K28" s="9"/>
      <c r="L28" s="9" t="s">
        <v>97</v>
      </c>
      <c r="M28" s="9" t="s">
        <v>103</v>
      </c>
      <c r="N28" s="16" t="s">
        <v>42</v>
      </c>
      <c r="O28" s="17"/>
      <c r="P28" s="17"/>
      <c r="Q28" s="17"/>
      <c r="R28" s="18"/>
      <c r="S28" s="16"/>
      <c r="T28" s="17"/>
    </row>
    <row r="29" spans="1:20" ht="22.8" x14ac:dyDescent="0.3">
      <c r="A29" s="11" t="s">
        <v>209</v>
      </c>
      <c r="B29" s="9" t="s">
        <v>46</v>
      </c>
      <c r="C29" s="15" t="s">
        <v>175</v>
      </c>
      <c r="D29" s="15" t="s">
        <v>210</v>
      </c>
      <c r="E29" s="15" t="s">
        <v>206</v>
      </c>
      <c r="F29" s="15" t="s">
        <v>211</v>
      </c>
      <c r="G29" s="15" t="s">
        <v>212</v>
      </c>
      <c r="H29" s="9" t="s">
        <v>53</v>
      </c>
      <c r="I29" s="15" t="s">
        <v>95</v>
      </c>
      <c r="J29" s="15" t="s">
        <v>125</v>
      </c>
      <c r="K29" s="9"/>
      <c r="L29" s="9" t="s">
        <v>97</v>
      </c>
      <c r="M29" s="9" t="s">
        <v>103</v>
      </c>
      <c r="N29" s="16" t="s">
        <v>42</v>
      </c>
      <c r="O29" s="17"/>
      <c r="P29" s="17"/>
      <c r="Q29" s="17"/>
      <c r="R29" s="18"/>
      <c r="S29" s="16"/>
      <c r="T29" s="17"/>
    </row>
    <row r="30" spans="1:20" ht="34.200000000000003" x14ac:dyDescent="0.3">
      <c r="A30" s="11" t="s">
        <v>213</v>
      </c>
      <c r="B30" s="9" t="s">
        <v>46</v>
      </c>
      <c r="C30" s="15" t="s">
        <v>175</v>
      </c>
      <c r="D30" s="15" t="s">
        <v>176</v>
      </c>
      <c r="E30" s="15" t="s">
        <v>95</v>
      </c>
      <c r="F30" s="15" t="s">
        <v>214</v>
      </c>
      <c r="G30" s="15" t="s">
        <v>215</v>
      </c>
      <c r="H30" s="9" t="s">
        <v>52</v>
      </c>
      <c r="I30" s="15" t="s">
        <v>107</v>
      </c>
      <c r="J30" s="15" t="s">
        <v>107</v>
      </c>
      <c r="K30" s="9"/>
      <c r="L30" s="9" t="s">
        <v>97</v>
      </c>
      <c r="M30" s="9" t="s">
        <v>103</v>
      </c>
      <c r="N30" s="16" t="s">
        <v>42</v>
      </c>
      <c r="O30" s="17"/>
      <c r="P30" s="17"/>
      <c r="Q30" s="17"/>
      <c r="R30" s="18"/>
      <c r="S30" s="16"/>
      <c r="T30" s="17"/>
    </row>
    <row r="31" spans="1:20" ht="45.6" x14ac:dyDescent="0.3">
      <c r="A31" s="11" t="s">
        <v>216</v>
      </c>
      <c r="B31" s="9" t="s">
        <v>46</v>
      </c>
      <c r="C31" s="15" t="s">
        <v>175</v>
      </c>
      <c r="D31" s="15" t="s">
        <v>217</v>
      </c>
      <c r="E31" s="15" t="s">
        <v>218</v>
      </c>
      <c r="F31" s="15" t="s">
        <v>219</v>
      </c>
      <c r="G31" s="15" t="s">
        <v>220</v>
      </c>
      <c r="H31" s="9" t="s">
        <v>53</v>
      </c>
      <c r="I31" s="15" t="s">
        <v>107</v>
      </c>
      <c r="J31" s="15" t="s">
        <v>107</v>
      </c>
      <c r="K31" s="9"/>
      <c r="L31" s="9" t="s">
        <v>97</v>
      </c>
      <c r="M31" s="9" t="s">
        <v>103</v>
      </c>
      <c r="N31" s="16" t="s">
        <v>42</v>
      </c>
      <c r="O31" s="17"/>
      <c r="P31" s="17"/>
      <c r="Q31" s="17"/>
      <c r="R31" s="18"/>
      <c r="S31" s="16"/>
      <c r="T31" s="17"/>
    </row>
    <row r="32" spans="1:20" ht="57" x14ac:dyDescent="0.3">
      <c r="A32" s="11" t="s">
        <v>221</v>
      </c>
      <c r="B32" s="9" t="s">
        <v>46</v>
      </c>
      <c r="C32" s="15" t="s">
        <v>175</v>
      </c>
      <c r="D32" s="15" t="s">
        <v>176</v>
      </c>
      <c r="E32" s="15" t="s">
        <v>177</v>
      </c>
      <c r="F32" s="15" t="s">
        <v>222</v>
      </c>
      <c r="G32" s="15" t="s">
        <v>223</v>
      </c>
      <c r="H32" s="9" t="s">
        <v>52</v>
      </c>
      <c r="I32" s="15" t="s">
        <v>224</v>
      </c>
      <c r="J32" s="15" t="s">
        <v>187</v>
      </c>
      <c r="K32" s="9"/>
      <c r="L32" s="9" t="s">
        <v>97</v>
      </c>
      <c r="M32" s="9" t="s">
        <v>103</v>
      </c>
      <c r="N32" s="16" t="s">
        <v>42</v>
      </c>
      <c r="O32" s="17"/>
      <c r="P32" s="17"/>
      <c r="Q32" s="17"/>
      <c r="R32" s="18"/>
      <c r="S32" s="16"/>
      <c r="T32" s="17"/>
    </row>
    <row r="33" spans="1:20" ht="22.8" x14ac:dyDescent="0.3">
      <c r="A33" s="11" t="s">
        <v>225</v>
      </c>
      <c r="B33" s="9" t="s">
        <v>46</v>
      </c>
      <c r="C33" s="15" t="s">
        <v>226</v>
      </c>
      <c r="D33" s="15" t="s">
        <v>176</v>
      </c>
      <c r="E33" s="15" t="s">
        <v>197</v>
      </c>
      <c r="F33" s="15" t="s">
        <v>227</v>
      </c>
      <c r="G33" s="15" t="s">
        <v>228</v>
      </c>
      <c r="H33" s="9" t="s">
        <v>52</v>
      </c>
      <c r="I33" s="15" t="s">
        <v>229</v>
      </c>
      <c r="J33" s="15" t="s">
        <v>102</v>
      </c>
      <c r="K33" s="9"/>
      <c r="L33" s="9" t="s">
        <v>97</v>
      </c>
      <c r="M33" s="9" t="s">
        <v>103</v>
      </c>
      <c r="N33" s="16" t="s">
        <v>42</v>
      </c>
      <c r="O33" s="17"/>
      <c r="P33" s="17"/>
      <c r="Q33" s="17"/>
      <c r="R33" s="18"/>
      <c r="S33" s="16"/>
      <c r="T33" s="17"/>
    </row>
    <row r="34" spans="1:20" ht="22.8" x14ac:dyDescent="0.3">
      <c r="A34" s="11" t="s">
        <v>230</v>
      </c>
      <c r="B34" s="9" t="s">
        <v>46</v>
      </c>
      <c r="C34" s="15" t="s">
        <v>226</v>
      </c>
      <c r="D34" s="15" t="s">
        <v>183</v>
      </c>
      <c r="E34" s="15" t="s">
        <v>95</v>
      </c>
      <c r="F34" s="15" t="s">
        <v>231</v>
      </c>
      <c r="G34" s="15" t="s">
        <v>232</v>
      </c>
      <c r="H34" s="9" t="s">
        <v>53</v>
      </c>
      <c r="I34" s="15" t="s">
        <v>95</v>
      </c>
      <c r="J34" s="15" t="s">
        <v>125</v>
      </c>
      <c r="K34" s="9"/>
      <c r="L34" s="9" t="s">
        <v>97</v>
      </c>
      <c r="M34" s="9" t="s">
        <v>103</v>
      </c>
      <c r="N34" s="16" t="s">
        <v>42</v>
      </c>
      <c r="O34" s="17"/>
      <c r="P34" s="17"/>
      <c r="Q34" s="17"/>
      <c r="R34" s="18"/>
      <c r="S34" s="16"/>
      <c r="T34" s="17"/>
    </row>
    <row r="35" spans="1:20" ht="22.8" x14ac:dyDescent="0.3">
      <c r="A35" s="11" t="s">
        <v>233</v>
      </c>
      <c r="B35" s="9" t="s">
        <v>46</v>
      </c>
      <c r="C35" s="15" t="s">
        <v>226</v>
      </c>
      <c r="D35" s="15" t="s">
        <v>183</v>
      </c>
      <c r="E35" s="15" t="s">
        <v>95</v>
      </c>
      <c r="F35" s="15" t="s">
        <v>234</v>
      </c>
      <c r="G35" s="15" t="s">
        <v>235</v>
      </c>
      <c r="H35" s="9" t="s">
        <v>52</v>
      </c>
      <c r="I35" s="15" t="s">
        <v>236</v>
      </c>
      <c r="J35" s="15" t="s">
        <v>237</v>
      </c>
      <c r="K35" s="9"/>
      <c r="L35" s="9" t="s">
        <v>97</v>
      </c>
      <c r="M35" s="9" t="s">
        <v>103</v>
      </c>
      <c r="N35" s="16" t="s">
        <v>42</v>
      </c>
      <c r="O35" s="17"/>
      <c r="P35" s="17"/>
      <c r="Q35" s="17"/>
      <c r="R35" s="18"/>
      <c r="S35" s="16"/>
      <c r="T35" s="17"/>
    </row>
    <row r="36" spans="1:20" ht="22.8" x14ac:dyDescent="0.3">
      <c r="A36" s="11" t="s">
        <v>238</v>
      </c>
      <c r="B36" s="9" t="s">
        <v>46</v>
      </c>
      <c r="C36" s="15" t="s">
        <v>226</v>
      </c>
      <c r="D36" s="15" t="s">
        <v>183</v>
      </c>
      <c r="E36" s="15" t="s">
        <v>95</v>
      </c>
      <c r="F36" s="15" t="s">
        <v>239</v>
      </c>
      <c r="G36" s="15" t="s">
        <v>240</v>
      </c>
      <c r="H36" s="9" t="s">
        <v>52</v>
      </c>
      <c r="I36" s="15" t="s">
        <v>241</v>
      </c>
      <c r="J36" s="15" t="s">
        <v>125</v>
      </c>
      <c r="K36" s="9"/>
      <c r="L36" s="9" t="s">
        <v>97</v>
      </c>
      <c r="M36" s="9" t="s">
        <v>103</v>
      </c>
      <c r="N36" s="16" t="s">
        <v>42</v>
      </c>
      <c r="O36" s="17"/>
      <c r="P36" s="17"/>
      <c r="Q36" s="17"/>
      <c r="R36" s="18"/>
      <c r="S36" s="16"/>
      <c r="T36" s="17"/>
    </row>
    <row r="37" spans="1:20" ht="34.200000000000003" x14ac:dyDescent="0.3">
      <c r="A37" s="11" t="s">
        <v>242</v>
      </c>
      <c r="B37" s="9" t="s">
        <v>46</v>
      </c>
      <c r="C37" s="15" t="s">
        <v>226</v>
      </c>
      <c r="D37" s="15" t="s">
        <v>183</v>
      </c>
      <c r="E37" s="15" t="s">
        <v>95</v>
      </c>
      <c r="F37" s="15" t="s">
        <v>243</v>
      </c>
      <c r="G37" s="15" t="s">
        <v>244</v>
      </c>
      <c r="H37" s="9" t="s">
        <v>52</v>
      </c>
      <c r="I37" s="15" t="s">
        <v>245</v>
      </c>
      <c r="J37" s="15" t="s">
        <v>125</v>
      </c>
      <c r="K37" s="9"/>
      <c r="L37" s="9" t="s">
        <v>97</v>
      </c>
      <c r="M37" s="9" t="s">
        <v>103</v>
      </c>
      <c r="N37" s="16" t="s">
        <v>42</v>
      </c>
      <c r="O37" s="17"/>
      <c r="P37" s="17"/>
      <c r="Q37" s="17"/>
      <c r="R37" s="18"/>
      <c r="S37" s="16"/>
      <c r="T37" s="17"/>
    </row>
    <row r="38" spans="1:20" ht="22.8" x14ac:dyDescent="0.3">
      <c r="A38" s="11" t="s">
        <v>246</v>
      </c>
      <c r="B38" s="9" t="s">
        <v>46</v>
      </c>
      <c r="C38" s="15" t="s">
        <v>226</v>
      </c>
      <c r="D38" s="15" t="s">
        <v>183</v>
      </c>
      <c r="E38" s="15" t="s">
        <v>95</v>
      </c>
      <c r="F38" s="15" t="s">
        <v>247</v>
      </c>
      <c r="G38" s="15" t="s">
        <v>248</v>
      </c>
      <c r="H38" s="9" t="s">
        <v>52</v>
      </c>
      <c r="I38" s="15" t="s">
        <v>95</v>
      </c>
      <c r="J38" s="15" t="s">
        <v>125</v>
      </c>
      <c r="K38" s="9"/>
      <c r="L38" s="9" t="s">
        <v>97</v>
      </c>
      <c r="M38" s="9" t="s">
        <v>103</v>
      </c>
      <c r="N38" s="16" t="s">
        <v>42</v>
      </c>
      <c r="O38" s="17"/>
      <c r="P38" s="17"/>
      <c r="Q38" s="17"/>
      <c r="R38" s="18"/>
      <c r="S38" s="16"/>
      <c r="T38" s="17"/>
    </row>
    <row r="39" spans="1:20" ht="22.8" x14ac:dyDescent="0.3">
      <c r="A39" s="11" t="s">
        <v>249</v>
      </c>
      <c r="B39" s="9" t="s">
        <v>46</v>
      </c>
      <c r="C39" s="15" t="s">
        <v>226</v>
      </c>
      <c r="D39" s="15" t="s">
        <v>183</v>
      </c>
      <c r="E39" s="15" t="s">
        <v>95</v>
      </c>
      <c r="F39" s="15" t="s">
        <v>250</v>
      </c>
      <c r="G39" s="15" t="s">
        <v>251</v>
      </c>
      <c r="H39" s="9" t="s">
        <v>52</v>
      </c>
      <c r="I39" s="15" t="s">
        <v>252</v>
      </c>
      <c r="J39" s="15" t="s">
        <v>125</v>
      </c>
      <c r="K39" s="9"/>
      <c r="L39" s="9" t="s">
        <v>97</v>
      </c>
      <c r="M39" s="9" t="s">
        <v>98</v>
      </c>
      <c r="N39" s="16" t="s">
        <v>42</v>
      </c>
      <c r="O39" s="17"/>
      <c r="P39" s="17"/>
      <c r="Q39" s="17"/>
      <c r="R39" s="18"/>
      <c r="S39" s="16"/>
      <c r="T39" s="17"/>
    </row>
    <row r="40" spans="1:20" ht="45.6" x14ac:dyDescent="0.3">
      <c r="A40" s="11" t="s">
        <v>253</v>
      </c>
      <c r="B40" s="9" t="s">
        <v>46</v>
      </c>
      <c r="C40" s="15" t="s">
        <v>226</v>
      </c>
      <c r="D40" s="15" t="s">
        <v>183</v>
      </c>
      <c r="E40" s="15" t="s">
        <v>95</v>
      </c>
      <c r="F40" s="15" t="s">
        <v>254</v>
      </c>
      <c r="G40" s="15" t="s">
        <v>255</v>
      </c>
      <c r="H40" s="9" t="s">
        <v>52</v>
      </c>
      <c r="I40" s="15" t="s">
        <v>256</v>
      </c>
      <c r="J40" s="15" t="s">
        <v>125</v>
      </c>
      <c r="K40" s="9"/>
      <c r="L40" s="9" t="s">
        <v>97</v>
      </c>
      <c r="M40" s="9" t="s">
        <v>103</v>
      </c>
      <c r="N40" s="16" t="s">
        <v>42</v>
      </c>
      <c r="O40" s="17"/>
      <c r="P40" s="17"/>
      <c r="Q40" s="17"/>
      <c r="R40" s="18"/>
      <c r="S40" s="16"/>
      <c r="T40" s="17"/>
    </row>
    <row r="41" spans="1:20" ht="34.200000000000003" x14ac:dyDescent="0.3">
      <c r="A41" s="11" t="s">
        <v>257</v>
      </c>
      <c r="B41" s="9" t="s">
        <v>46</v>
      </c>
      <c r="C41" s="15" t="s">
        <v>226</v>
      </c>
      <c r="D41" s="15" t="s">
        <v>258</v>
      </c>
      <c r="E41" s="15" t="s">
        <v>259</v>
      </c>
      <c r="F41" s="15" t="s">
        <v>260</v>
      </c>
      <c r="G41" s="15" t="s">
        <v>261</v>
      </c>
      <c r="H41" s="9" t="s">
        <v>52</v>
      </c>
      <c r="I41" s="15" t="s">
        <v>262</v>
      </c>
      <c r="J41" s="15" t="s">
        <v>263</v>
      </c>
      <c r="K41" s="9"/>
      <c r="L41" s="9" t="s">
        <v>97</v>
      </c>
      <c r="M41" s="9" t="s">
        <v>103</v>
      </c>
      <c r="N41" s="16" t="s">
        <v>42</v>
      </c>
      <c r="O41" s="17"/>
      <c r="P41" s="17"/>
      <c r="Q41" s="17"/>
      <c r="R41" s="18"/>
      <c r="S41" s="16"/>
      <c r="T41" s="17"/>
    </row>
    <row r="42" spans="1:20" ht="34.200000000000003" x14ac:dyDescent="0.3">
      <c r="A42" s="11" t="s">
        <v>264</v>
      </c>
      <c r="B42" s="9" t="s">
        <v>46</v>
      </c>
      <c r="C42" s="15" t="s">
        <v>226</v>
      </c>
      <c r="D42" s="15" t="s">
        <v>183</v>
      </c>
      <c r="E42" s="15" t="s">
        <v>265</v>
      </c>
      <c r="F42" s="15" t="s">
        <v>266</v>
      </c>
      <c r="G42" s="15" t="s">
        <v>267</v>
      </c>
      <c r="H42" s="9" t="s">
        <v>53</v>
      </c>
      <c r="I42" s="15" t="s">
        <v>268</v>
      </c>
      <c r="J42" s="15" t="s">
        <v>125</v>
      </c>
      <c r="K42" s="9"/>
      <c r="L42" s="9" t="s">
        <v>97</v>
      </c>
      <c r="M42" s="9" t="s">
        <v>103</v>
      </c>
      <c r="N42" s="16" t="s">
        <v>42</v>
      </c>
      <c r="O42" s="17"/>
      <c r="P42" s="17"/>
      <c r="Q42" s="17"/>
      <c r="R42" s="18"/>
      <c r="S42" s="16"/>
      <c r="T42" s="17"/>
    </row>
    <row r="43" spans="1:20" ht="34.200000000000003" x14ac:dyDescent="0.3">
      <c r="A43" s="11" t="s">
        <v>269</v>
      </c>
      <c r="B43" s="9" t="s">
        <v>46</v>
      </c>
      <c r="C43" s="15" t="s">
        <v>226</v>
      </c>
      <c r="D43" s="15" t="s">
        <v>183</v>
      </c>
      <c r="E43" s="15" t="s">
        <v>95</v>
      </c>
      <c r="F43" s="15" t="s">
        <v>270</v>
      </c>
      <c r="G43" s="15" t="s">
        <v>271</v>
      </c>
      <c r="H43" s="9" t="s">
        <v>52</v>
      </c>
      <c r="I43" s="15" t="s">
        <v>272</v>
      </c>
      <c r="J43" s="15" t="s">
        <v>273</v>
      </c>
      <c r="K43" s="9"/>
      <c r="L43" s="9" t="s">
        <v>97</v>
      </c>
      <c r="M43" s="9" t="s">
        <v>103</v>
      </c>
      <c r="N43" s="16" t="s">
        <v>42</v>
      </c>
      <c r="O43" s="17"/>
      <c r="P43" s="17"/>
      <c r="Q43" s="17"/>
      <c r="R43" s="18"/>
      <c r="S43" s="16"/>
      <c r="T43" s="17"/>
    </row>
    <row r="44" spans="1:20" ht="22.8" x14ac:dyDescent="0.3">
      <c r="A44" s="11" t="s">
        <v>274</v>
      </c>
      <c r="B44" s="9" t="s">
        <v>46</v>
      </c>
      <c r="C44" s="15" t="s">
        <v>226</v>
      </c>
      <c r="D44" s="15" t="s">
        <v>183</v>
      </c>
      <c r="E44" s="15" t="s">
        <v>275</v>
      </c>
      <c r="F44" s="15" t="s">
        <v>276</v>
      </c>
      <c r="G44" s="15" t="s">
        <v>277</v>
      </c>
      <c r="H44" s="9" t="s">
        <v>52</v>
      </c>
      <c r="I44" s="15" t="s">
        <v>95</v>
      </c>
      <c r="J44" s="15" t="s">
        <v>125</v>
      </c>
      <c r="K44" s="9"/>
      <c r="L44" s="9" t="s">
        <v>97</v>
      </c>
      <c r="M44" s="9" t="s">
        <v>103</v>
      </c>
      <c r="N44" s="16" t="s">
        <v>42</v>
      </c>
      <c r="O44" s="17"/>
      <c r="P44" s="17"/>
      <c r="Q44" s="17"/>
      <c r="R44" s="18"/>
      <c r="S44" s="16"/>
      <c r="T44" s="17"/>
    </row>
    <row r="45" spans="1:20" ht="22.8" x14ac:dyDescent="0.3">
      <c r="A45" s="11" t="s">
        <v>278</v>
      </c>
      <c r="B45" s="9" t="s">
        <v>46</v>
      </c>
      <c r="C45" s="15" t="s">
        <v>279</v>
      </c>
      <c r="D45" s="15" t="s">
        <v>183</v>
      </c>
      <c r="E45" s="15" t="s">
        <v>95</v>
      </c>
      <c r="F45" s="15" t="s">
        <v>280</v>
      </c>
      <c r="G45" s="15" t="s">
        <v>281</v>
      </c>
      <c r="H45" s="9" t="s">
        <v>52</v>
      </c>
      <c r="I45" s="15" t="s">
        <v>282</v>
      </c>
      <c r="J45" s="15" t="s">
        <v>283</v>
      </c>
      <c r="K45" s="9"/>
      <c r="L45" s="9" t="s">
        <v>97</v>
      </c>
      <c r="M45" s="9" t="s">
        <v>103</v>
      </c>
      <c r="N45" s="16" t="s">
        <v>42</v>
      </c>
      <c r="O45" s="17"/>
      <c r="P45" s="17"/>
      <c r="Q45" s="17"/>
      <c r="R45" s="18"/>
      <c r="S45" s="16"/>
      <c r="T45" s="17"/>
    </row>
    <row r="46" spans="1:20" ht="22.8" x14ac:dyDescent="0.3">
      <c r="A46" s="11" t="s">
        <v>284</v>
      </c>
      <c r="B46" s="9" t="s">
        <v>46</v>
      </c>
      <c r="C46" s="15" t="s">
        <v>279</v>
      </c>
      <c r="D46" s="15" t="s">
        <v>183</v>
      </c>
      <c r="E46" s="15" t="s">
        <v>95</v>
      </c>
      <c r="F46" s="15" t="s">
        <v>285</v>
      </c>
      <c r="G46" s="15" t="s">
        <v>286</v>
      </c>
      <c r="H46" s="9" t="s">
        <v>52</v>
      </c>
      <c r="I46" s="15" t="s">
        <v>287</v>
      </c>
      <c r="J46" s="15" t="s">
        <v>288</v>
      </c>
      <c r="K46" s="9" t="s">
        <v>289</v>
      </c>
      <c r="L46" s="9" t="s">
        <v>150</v>
      </c>
      <c r="M46" s="9" t="s">
        <v>98</v>
      </c>
      <c r="N46" s="16" t="s">
        <v>42</v>
      </c>
      <c r="O46" s="17"/>
      <c r="P46" s="17"/>
      <c r="Q46" s="17"/>
      <c r="R46" s="18"/>
      <c r="S46" s="16"/>
      <c r="T46" s="17"/>
    </row>
    <row r="47" spans="1:20" ht="22.8" x14ac:dyDescent="0.3">
      <c r="A47" s="11" t="s">
        <v>290</v>
      </c>
      <c r="B47" s="9" t="s">
        <v>46</v>
      </c>
      <c r="C47" s="15" t="s">
        <v>279</v>
      </c>
      <c r="D47" s="15" t="s">
        <v>183</v>
      </c>
      <c r="E47" s="15" t="s">
        <v>95</v>
      </c>
      <c r="F47" s="15" t="s">
        <v>291</v>
      </c>
      <c r="G47" s="15" t="s">
        <v>292</v>
      </c>
      <c r="H47" s="9" t="s">
        <v>52</v>
      </c>
      <c r="I47" s="15" t="s">
        <v>287</v>
      </c>
      <c r="J47" s="15" t="s">
        <v>288</v>
      </c>
      <c r="K47" s="9" t="s">
        <v>289</v>
      </c>
      <c r="L47" s="9" t="s">
        <v>150</v>
      </c>
      <c r="M47" s="9" t="s">
        <v>98</v>
      </c>
      <c r="N47" s="16" t="s">
        <v>42</v>
      </c>
      <c r="O47" s="17"/>
      <c r="P47" s="17"/>
      <c r="Q47" s="17"/>
      <c r="R47" s="18"/>
      <c r="S47" s="16"/>
      <c r="T47" s="17"/>
    </row>
    <row r="48" spans="1:20" ht="22.8" x14ac:dyDescent="0.3">
      <c r="A48" s="11" t="s">
        <v>293</v>
      </c>
      <c r="B48" s="9" t="s">
        <v>46</v>
      </c>
      <c r="C48" s="15" t="s">
        <v>279</v>
      </c>
      <c r="D48" s="15" t="s">
        <v>183</v>
      </c>
      <c r="E48" s="15" t="s">
        <v>95</v>
      </c>
      <c r="F48" s="15" t="s">
        <v>294</v>
      </c>
      <c r="G48" s="15" t="s">
        <v>295</v>
      </c>
      <c r="H48" s="9" t="s">
        <v>52</v>
      </c>
      <c r="I48" s="15" t="s">
        <v>287</v>
      </c>
      <c r="J48" s="15" t="s">
        <v>288</v>
      </c>
      <c r="K48" s="9"/>
      <c r="L48" s="9" t="s">
        <v>97</v>
      </c>
      <c r="M48" s="9" t="s">
        <v>103</v>
      </c>
      <c r="N48" s="16" t="s">
        <v>42</v>
      </c>
      <c r="O48" s="17"/>
      <c r="P48" s="17"/>
      <c r="Q48" s="17"/>
      <c r="R48" s="18"/>
      <c r="S48" s="16"/>
      <c r="T48" s="17"/>
    </row>
    <row r="49" spans="1:20" ht="34.200000000000003" x14ac:dyDescent="0.3">
      <c r="A49" s="11" t="s">
        <v>296</v>
      </c>
      <c r="B49" s="9" t="s">
        <v>46</v>
      </c>
      <c r="C49" s="15" t="s">
        <v>279</v>
      </c>
      <c r="D49" s="15" t="s">
        <v>183</v>
      </c>
      <c r="E49" s="15" t="s">
        <v>95</v>
      </c>
      <c r="F49" s="15" t="s">
        <v>297</v>
      </c>
      <c r="G49" s="15" t="s">
        <v>298</v>
      </c>
      <c r="H49" s="9" t="s">
        <v>53</v>
      </c>
      <c r="I49" s="15" t="s">
        <v>299</v>
      </c>
      <c r="J49" s="15" t="s">
        <v>283</v>
      </c>
      <c r="K49" s="9"/>
      <c r="L49" s="9" t="s">
        <v>97</v>
      </c>
      <c r="M49" s="9" t="s">
        <v>103</v>
      </c>
      <c r="N49" s="16" t="s">
        <v>42</v>
      </c>
      <c r="O49" s="17"/>
      <c r="P49" s="17"/>
      <c r="Q49" s="17"/>
      <c r="R49" s="18"/>
      <c r="S49" s="16"/>
      <c r="T49" s="17"/>
    </row>
    <row r="50" spans="1:20" ht="22.8" x14ac:dyDescent="0.3">
      <c r="A50" s="11" t="s">
        <v>300</v>
      </c>
      <c r="B50" s="9" t="s">
        <v>46</v>
      </c>
      <c r="C50" s="15" t="s">
        <v>279</v>
      </c>
      <c r="D50" s="15" t="s">
        <v>183</v>
      </c>
      <c r="E50" s="15" t="s">
        <v>95</v>
      </c>
      <c r="F50" s="15" t="s">
        <v>301</v>
      </c>
      <c r="G50" s="15" t="s">
        <v>302</v>
      </c>
      <c r="H50" s="9" t="s">
        <v>53</v>
      </c>
      <c r="I50" s="15" t="s">
        <v>95</v>
      </c>
      <c r="J50" s="15" t="s">
        <v>125</v>
      </c>
      <c r="K50" s="9" t="s">
        <v>303</v>
      </c>
      <c r="L50" s="9" t="s">
        <v>150</v>
      </c>
      <c r="M50" s="9" t="s">
        <v>103</v>
      </c>
      <c r="N50" s="16" t="s">
        <v>42</v>
      </c>
      <c r="O50" s="17"/>
      <c r="P50" s="17"/>
      <c r="Q50" s="17"/>
      <c r="R50" s="18"/>
      <c r="S50" s="16"/>
      <c r="T50" s="17"/>
    </row>
    <row r="51" spans="1:20" ht="22.8" x14ac:dyDescent="0.3">
      <c r="A51" s="11" t="s">
        <v>304</v>
      </c>
      <c r="B51" s="9" t="s">
        <v>46</v>
      </c>
      <c r="C51" s="15" t="s">
        <v>279</v>
      </c>
      <c r="D51" s="15" t="s">
        <v>183</v>
      </c>
      <c r="E51" s="15" t="s">
        <v>95</v>
      </c>
      <c r="F51" s="15" t="s">
        <v>305</v>
      </c>
      <c r="G51" s="15" t="s">
        <v>306</v>
      </c>
      <c r="H51" s="9" t="s">
        <v>52</v>
      </c>
      <c r="I51" s="15" t="s">
        <v>236</v>
      </c>
      <c r="J51" s="15" t="s">
        <v>237</v>
      </c>
      <c r="K51" s="9"/>
      <c r="L51" s="9" t="s">
        <v>97</v>
      </c>
      <c r="M51" s="9" t="s">
        <v>103</v>
      </c>
      <c r="N51" s="16" t="s">
        <v>42</v>
      </c>
      <c r="O51" s="17"/>
      <c r="P51" s="17"/>
      <c r="Q51" s="17"/>
      <c r="R51" s="18"/>
      <c r="S51" s="16"/>
      <c r="T51" s="17"/>
    </row>
    <row r="52" spans="1:20" ht="22.8" x14ac:dyDescent="0.3">
      <c r="A52" s="11" t="s">
        <v>307</v>
      </c>
      <c r="B52" s="9" t="s">
        <v>46</v>
      </c>
      <c r="C52" s="15" t="s">
        <v>279</v>
      </c>
      <c r="D52" s="15" t="s">
        <v>258</v>
      </c>
      <c r="E52" s="15" t="s">
        <v>308</v>
      </c>
      <c r="F52" s="15" t="s">
        <v>309</v>
      </c>
      <c r="G52" s="15" t="s">
        <v>310</v>
      </c>
      <c r="H52" s="9" t="s">
        <v>52</v>
      </c>
      <c r="I52" s="15" t="s">
        <v>311</v>
      </c>
      <c r="J52" s="15" t="s">
        <v>312</v>
      </c>
      <c r="K52" s="9"/>
      <c r="L52" s="9" t="s">
        <v>97</v>
      </c>
      <c r="M52" s="9" t="s">
        <v>103</v>
      </c>
      <c r="N52" s="16" t="s">
        <v>42</v>
      </c>
      <c r="O52" s="17"/>
      <c r="P52" s="17"/>
      <c r="Q52" s="17"/>
      <c r="R52" s="18"/>
      <c r="S52" s="16"/>
      <c r="T52" s="17"/>
    </row>
    <row r="53" spans="1:20" ht="34.200000000000003" x14ac:dyDescent="0.3">
      <c r="A53" s="11" t="s">
        <v>313</v>
      </c>
      <c r="B53" s="9" t="s">
        <v>46</v>
      </c>
      <c r="C53" s="15" t="s">
        <v>279</v>
      </c>
      <c r="D53" s="15" t="s">
        <v>183</v>
      </c>
      <c r="E53" s="15" t="s">
        <v>314</v>
      </c>
      <c r="F53" s="15" t="s">
        <v>315</v>
      </c>
      <c r="G53" s="15" t="s">
        <v>316</v>
      </c>
      <c r="H53" s="9" t="s">
        <v>53</v>
      </c>
      <c r="I53" s="15" t="s">
        <v>317</v>
      </c>
      <c r="J53" s="15" t="s">
        <v>317</v>
      </c>
      <c r="K53" s="9"/>
      <c r="L53" s="9" t="s">
        <v>97</v>
      </c>
      <c r="M53" s="9" t="s">
        <v>103</v>
      </c>
      <c r="N53" s="16" t="s">
        <v>42</v>
      </c>
      <c r="O53" s="17"/>
      <c r="P53" s="17"/>
      <c r="Q53" s="17"/>
      <c r="R53" s="18"/>
      <c r="S53" s="16"/>
      <c r="T53" s="17"/>
    </row>
    <row r="54" spans="1:20" ht="22.8" x14ac:dyDescent="0.3">
      <c r="A54" s="11" t="s">
        <v>318</v>
      </c>
      <c r="B54" s="9" t="s">
        <v>46</v>
      </c>
      <c r="C54" s="15" t="s">
        <v>279</v>
      </c>
      <c r="D54" s="15" t="s">
        <v>183</v>
      </c>
      <c r="E54" s="15" t="s">
        <v>95</v>
      </c>
      <c r="F54" s="15" t="s">
        <v>319</v>
      </c>
      <c r="G54" s="15" t="s">
        <v>320</v>
      </c>
      <c r="H54" s="9" t="s">
        <v>52</v>
      </c>
      <c r="I54" s="15" t="s">
        <v>321</v>
      </c>
      <c r="J54" s="15" t="s">
        <v>321</v>
      </c>
      <c r="K54" s="9" t="s">
        <v>322</v>
      </c>
      <c r="L54" s="9" t="s">
        <v>150</v>
      </c>
      <c r="M54" s="9" t="s">
        <v>103</v>
      </c>
      <c r="N54" s="16" t="s">
        <v>42</v>
      </c>
      <c r="O54" s="17"/>
      <c r="P54" s="17"/>
      <c r="Q54" s="17"/>
      <c r="R54" s="18"/>
      <c r="S54" s="16"/>
      <c r="T54" s="17"/>
    </row>
    <row r="55" spans="1:20" ht="22.8" x14ac:dyDescent="0.3">
      <c r="A55" s="11" t="s">
        <v>323</v>
      </c>
      <c r="B55" s="9" t="s">
        <v>46</v>
      </c>
      <c r="C55" s="15" t="s">
        <v>279</v>
      </c>
      <c r="D55" s="15" t="s">
        <v>196</v>
      </c>
      <c r="E55" s="15" t="s">
        <v>324</v>
      </c>
      <c r="F55" s="15" t="s">
        <v>325</v>
      </c>
      <c r="G55" s="15" t="s">
        <v>326</v>
      </c>
      <c r="H55" s="9" t="s">
        <v>52</v>
      </c>
      <c r="I55" s="15" t="s">
        <v>327</v>
      </c>
      <c r="J55" s="15" t="s">
        <v>328</v>
      </c>
      <c r="K55" s="9"/>
      <c r="L55" s="9" t="s">
        <v>97</v>
      </c>
      <c r="M55" s="9" t="s">
        <v>103</v>
      </c>
      <c r="N55" s="16" t="s">
        <v>42</v>
      </c>
      <c r="O55" s="17"/>
      <c r="P55" s="17"/>
      <c r="Q55" s="17"/>
      <c r="R55" s="18"/>
      <c r="S55" s="16"/>
      <c r="T55" s="17"/>
    </row>
    <row r="56" spans="1:20" ht="22.8" x14ac:dyDescent="0.3">
      <c r="A56" s="11" t="s">
        <v>329</v>
      </c>
      <c r="B56" s="9" t="s">
        <v>46</v>
      </c>
      <c r="C56" s="15" t="s">
        <v>279</v>
      </c>
      <c r="D56" s="15" t="s">
        <v>183</v>
      </c>
      <c r="E56" s="15" t="s">
        <v>330</v>
      </c>
      <c r="F56" s="15" t="s">
        <v>331</v>
      </c>
      <c r="G56" s="15" t="s">
        <v>332</v>
      </c>
      <c r="H56" s="9" t="s">
        <v>52</v>
      </c>
      <c r="I56" s="15" t="s">
        <v>333</v>
      </c>
      <c r="J56" s="15" t="s">
        <v>334</v>
      </c>
      <c r="K56" s="9" t="s">
        <v>335</v>
      </c>
      <c r="L56" s="9" t="s">
        <v>150</v>
      </c>
      <c r="M56" s="9" t="s">
        <v>103</v>
      </c>
      <c r="N56" s="16" t="s">
        <v>42</v>
      </c>
      <c r="O56" s="17"/>
      <c r="P56" s="17"/>
      <c r="Q56" s="17"/>
      <c r="R56" s="18"/>
      <c r="S56" s="16"/>
      <c r="T56" s="17"/>
    </row>
    <row r="57" spans="1:20" ht="22.8" x14ac:dyDescent="0.3">
      <c r="A57" s="11" t="s">
        <v>336</v>
      </c>
      <c r="B57" s="9" t="s">
        <v>46</v>
      </c>
      <c r="C57" s="15" t="s">
        <v>279</v>
      </c>
      <c r="D57" s="15" t="s">
        <v>196</v>
      </c>
      <c r="E57" s="15" t="s">
        <v>95</v>
      </c>
      <c r="F57" s="15" t="s">
        <v>337</v>
      </c>
      <c r="G57" s="15" t="s">
        <v>338</v>
      </c>
      <c r="H57" s="9" t="s">
        <v>53</v>
      </c>
      <c r="I57" s="15" t="s">
        <v>339</v>
      </c>
      <c r="J57" s="15" t="s">
        <v>339</v>
      </c>
      <c r="K57" s="9" t="s">
        <v>340</v>
      </c>
      <c r="L57" s="9" t="s">
        <v>150</v>
      </c>
      <c r="M57" s="9" t="s">
        <v>103</v>
      </c>
      <c r="N57" s="16" t="s">
        <v>42</v>
      </c>
      <c r="O57" s="17"/>
      <c r="P57" s="17"/>
      <c r="Q57" s="17"/>
      <c r="R57" s="18"/>
      <c r="S57" s="16"/>
      <c r="T57" s="17"/>
    </row>
    <row r="58" spans="1:20" x14ac:dyDescent="0.3">
      <c r="A58" s="11" t="s">
        <v>341</v>
      </c>
      <c r="B58" s="9" t="s">
        <v>46</v>
      </c>
      <c r="C58" s="15" t="s">
        <v>279</v>
      </c>
      <c r="D58" s="15" t="s">
        <v>183</v>
      </c>
      <c r="E58" s="15" t="s">
        <v>95</v>
      </c>
      <c r="F58" s="15" t="s">
        <v>342</v>
      </c>
      <c r="G58" s="15" t="s">
        <v>343</v>
      </c>
      <c r="H58" s="9" t="s">
        <v>53</v>
      </c>
      <c r="I58" s="15" t="s">
        <v>344</v>
      </c>
      <c r="J58" s="15" t="s">
        <v>345</v>
      </c>
      <c r="K58" s="9" t="s">
        <v>346</v>
      </c>
      <c r="L58" s="9" t="s">
        <v>150</v>
      </c>
      <c r="M58" s="9" t="s">
        <v>103</v>
      </c>
      <c r="N58" s="16" t="s">
        <v>42</v>
      </c>
      <c r="O58" s="17"/>
      <c r="P58" s="17"/>
      <c r="Q58" s="17"/>
      <c r="R58" s="18"/>
      <c r="S58" s="16"/>
      <c r="T58" s="17"/>
    </row>
    <row r="59" spans="1:20" ht="45.6" x14ac:dyDescent="0.3">
      <c r="A59" s="11" t="s">
        <v>347</v>
      </c>
      <c r="B59" s="9" t="s">
        <v>46</v>
      </c>
      <c r="C59" s="15" t="s">
        <v>279</v>
      </c>
      <c r="D59" s="15" t="s">
        <v>348</v>
      </c>
      <c r="E59" s="15" t="s">
        <v>95</v>
      </c>
      <c r="F59" s="15" t="s">
        <v>349</v>
      </c>
      <c r="G59" s="15" t="s">
        <v>350</v>
      </c>
      <c r="H59" s="9" t="s">
        <v>53</v>
      </c>
      <c r="I59" s="15" t="s">
        <v>351</v>
      </c>
      <c r="J59" s="15" t="s">
        <v>352</v>
      </c>
      <c r="K59" s="9" t="s">
        <v>353</v>
      </c>
      <c r="L59" s="9" t="s">
        <v>150</v>
      </c>
      <c r="M59" s="9" t="s">
        <v>103</v>
      </c>
      <c r="N59" s="16" t="s">
        <v>42</v>
      </c>
      <c r="O59" s="17"/>
      <c r="P59" s="17"/>
      <c r="Q59" s="17"/>
      <c r="R59" s="18"/>
      <c r="S59" s="16"/>
      <c r="T59" s="17"/>
    </row>
    <row r="60" spans="1:20" ht="34.200000000000003" x14ac:dyDescent="0.3">
      <c r="A60" s="11" t="s">
        <v>354</v>
      </c>
      <c r="B60" s="9" t="s">
        <v>46</v>
      </c>
      <c r="C60" s="15" t="s">
        <v>279</v>
      </c>
      <c r="D60" s="15" t="s">
        <v>196</v>
      </c>
      <c r="E60" s="15" t="s">
        <v>355</v>
      </c>
      <c r="F60" s="15" t="s">
        <v>356</v>
      </c>
      <c r="G60" s="15" t="s">
        <v>357</v>
      </c>
      <c r="H60" s="9" t="s">
        <v>53</v>
      </c>
      <c r="I60" s="15" t="s">
        <v>358</v>
      </c>
      <c r="J60" s="15" t="s">
        <v>359</v>
      </c>
      <c r="K60" s="9" t="s">
        <v>360</v>
      </c>
      <c r="L60" s="9" t="s">
        <v>150</v>
      </c>
      <c r="M60" s="9" t="s">
        <v>103</v>
      </c>
      <c r="N60" s="16" t="s">
        <v>42</v>
      </c>
      <c r="O60" s="17"/>
      <c r="P60" s="17"/>
      <c r="Q60" s="17"/>
      <c r="R60" s="18"/>
      <c r="S60" s="16"/>
      <c r="T60" s="17"/>
    </row>
    <row r="61" spans="1:20" ht="22.8" x14ac:dyDescent="0.3">
      <c r="A61" s="11" t="s">
        <v>361</v>
      </c>
      <c r="B61" s="9" t="s">
        <v>46</v>
      </c>
      <c r="C61" s="15" t="s">
        <v>362</v>
      </c>
      <c r="D61" s="15" t="s">
        <v>176</v>
      </c>
      <c r="E61" s="15" t="s">
        <v>95</v>
      </c>
      <c r="F61" s="15" t="s">
        <v>363</v>
      </c>
      <c r="G61" s="15" t="s">
        <v>364</v>
      </c>
      <c r="H61" s="9" t="s">
        <v>52</v>
      </c>
      <c r="I61" s="15" t="s">
        <v>365</v>
      </c>
      <c r="J61" s="15" t="s">
        <v>365</v>
      </c>
      <c r="K61" s="9"/>
      <c r="L61" s="9" t="s">
        <v>97</v>
      </c>
      <c r="M61" s="9" t="s">
        <v>103</v>
      </c>
      <c r="N61" s="16" t="s">
        <v>42</v>
      </c>
      <c r="O61" s="17"/>
      <c r="P61" s="17"/>
      <c r="Q61" s="17"/>
      <c r="R61" s="18"/>
      <c r="S61" s="16"/>
      <c r="T61" s="17"/>
    </row>
    <row r="62" spans="1:20" ht="22.8" x14ac:dyDescent="0.3">
      <c r="A62" s="11" t="s">
        <v>366</v>
      </c>
      <c r="B62" s="9" t="s">
        <v>46</v>
      </c>
      <c r="C62" s="15" t="s">
        <v>362</v>
      </c>
      <c r="D62" s="15" t="s">
        <v>183</v>
      </c>
      <c r="E62" s="15" t="s">
        <v>95</v>
      </c>
      <c r="F62" s="15" t="s">
        <v>367</v>
      </c>
      <c r="G62" s="15" t="s">
        <v>368</v>
      </c>
      <c r="H62" s="9" t="s">
        <v>52</v>
      </c>
      <c r="I62" s="15" t="s">
        <v>369</v>
      </c>
      <c r="J62" s="15" t="s">
        <v>369</v>
      </c>
      <c r="K62" s="9"/>
      <c r="L62" s="9" t="s">
        <v>97</v>
      </c>
      <c r="M62" s="9" t="s">
        <v>103</v>
      </c>
      <c r="N62" s="16" t="s">
        <v>42</v>
      </c>
      <c r="O62" s="17"/>
      <c r="P62" s="17"/>
      <c r="Q62" s="17"/>
      <c r="R62" s="18"/>
      <c r="S62" s="16"/>
      <c r="T62" s="17"/>
    </row>
    <row r="63" spans="1:20" ht="22.8" x14ac:dyDescent="0.3">
      <c r="A63" s="11" t="s">
        <v>370</v>
      </c>
      <c r="B63" s="9" t="s">
        <v>46</v>
      </c>
      <c r="C63" s="15" t="s">
        <v>362</v>
      </c>
      <c r="D63" s="15" t="s">
        <v>183</v>
      </c>
      <c r="E63" s="15" t="s">
        <v>95</v>
      </c>
      <c r="F63" s="15" t="s">
        <v>371</v>
      </c>
      <c r="G63" s="15" t="s">
        <v>372</v>
      </c>
      <c r="H63" s="9" t="s">
        <v>53</v>
      </c>
      <c r="I63" s="15" t="s">
        <v>365</v>
      </c>
      <c r="J63" s="15" t="s">
        <v>365</v>
      </c>
      <c r="K63" s="9"/>
      <c r="L63" s="9" t="s">
        <v>97</v>
      </c>
      <c r="M63" s="9" t="s">
        <v>103</v>
      </c>
      <c r="N63" s="16" t="s">
        <v>42</v>
      </c>
      <c r="O63" s="17"/>
      <c r="P63" s="17"/>
      <c r="Q63" s="17"/>
      <c r="R63" s="18"/>
      <c r="S63" s="16"/>
      <c r="T63" s="17"/>
    </row>
    <row r="64" spans="1:20" ht="22.8" x14ac:dyDescent="0.3">
      <c r="A64" s="11" t="s">
        <v>373</v>
      </c>
      <c r="B64" s="9" t="s">
        <v>46</v>
      </c>
      <c r="C64" s="15" t="s">
        <v>362</v>
      </c>
      <c r="D64" s="15" t="s">
        <v>183</v>
      </c>
      <c r="E64" s="15" t="s">
        <v>95</v>
      </c>
      <c r="F64" s="15" t="s">
        <v>374</v>
      </c>
      <c r="G64" s="15" t="s">
        <v>375</v>
      </c>
      <c r="H64" s="9" t="s">
        <v>53</v>
      </c>
      <c r="I64" s="15" t="s">
        <v>369</v>
      </c>
      <c r="J64" s="15" t="s">
        <v>369</v>
      </c>
      <c r="K64" s="9"/>
      <c r="L64" s="9" t="s">
        <v>97</v>
      </c>
      <c r="M64" s="9" t="s">
        <v>103</v>
      </c>
      <c r="N64" s="16" t="s">
        <v>42</v>
      </c>
      <c r="O64" s="17"/>
      <c r="P64" s="17"/>
      <c r="Q64" s="17"/>
      <c r="R64" s="18"/>
      <c r="S64" s="16"/>
      <c r="T64" s="17"/>
    </row>
    <row r="65" spans="1:20" ht="22.8" x14ac:dyDescent="0.3">
      <c r="A65" s="11" t="s">
        <v>376</v>
      </c>
      <c r="B65" s="9" t="s">
        <v>46</v>
      </c>
      <c r="C65" s="15" t="s">
        <v>362</v>
      </c>
      <c r="D65" s="15" t="s">
        <v>183</v>
      </c>
      <c r="E65" s="15" t="s">
        <v>377</v>
      </c>
      <c r="F65" s="15" t="s">
        <v>378</v>
      </c>
      <c r="G65" s="15" t="s">
        <v>379</v>
      </c>
      <c r="H65" s="9" t="s">
        <v>52</v>
      </c>
      <c r="I65" s="15" t="s">
        <v>95</v>
      </c>
      <c r="J65" s="15" t="s">
        <v>125</v>
      </c>
      <c r="K65" s="9"/>
      <c r="L65" s="9" t="s">
        <v>97</v>
      </c>
      <c r="M65" s="9" t="s">
        <v>98</v>
      </c>
      <c r="N65" s="16" t="s">
        <v>42</v>
      </c>
      <c r="O65" s="17"/>
      <c r="P65" s="17"/>
      <c r="Q65" s="17"/>
      <c r="R65" s="18"/>
      <c r="S65" s="16"/>
      <c r="T65" s="17"/>
    </row>
    <row r="66" spans="1:20" ht="22.8" x14ac:dyDescent="0.3">
      <c r="A66" s="11" t="s">
        <v>380</v>
      </c>
      <c r="B66" s="9" t="s">
        <v>46</v>
      </c>
      <c r="C66" s="15" t="s">
        <v>362</v>
      </c>
      <c r="D66" s="15" t="s">
        <v>183</v>
      </c>
      <c r="E66" s="15" t="s">
        <v>95</v>
      </c>
      <c r="F66" s="15" t="s">
        <v>381</v>
      </c>
      <c r="G66" s="15" t="s">
        <v>382</v>
      </c>
      <c r="H66" s="9" t="s">
        <v>52</v>
      </c>
      <c r="I66" s="15" t="s">
        <v>383</v>
      </c>
      <c r="J66" s="15" t="s">
        <v>384</v>
      </c>
      <c r="K66" s="9"/>
      <c r="L66" s="9" t="s">
        <v>97</v>
      </c>
      <c r="M66" s="9" t="s">
        <v>103</v>
      </c>
      <c r="N66" s="16" t="s">
        <v>42</v>
      </c>
      <c r="O66" s="17"/>
      <c r="P66" s="17"/>
      <c r="Q66" s="17"/>
      <c r="R66" s="18"/>
      <c r="S66" s="16"/>
      <c r="T66" s="17"/>
    </row>
    <row r="67" spans="1:20" ht="22.8" x14ac:dyDescent="0.3">
      <c r="A67" s="11" t="s">
        <v>385</v>
      </c>
      <c r="B67" s="9" t="s">
        <v>46</v>
      </c>
      <c r="C67" s="15" t="s">
        <v>362</v>
      </c>
      <c r="D67" s="15" t="s">
        <v>183</v>
      </c>
      <c r="E67" s="15" t="s">
        <v>386</v>
      </c>
      <c r="F67" s="15" t="s">
        <v>387</v>
      </c>
      <c r="G67" s="15" t="s">
        <v>388</v>
      </c>
      <c r="H67" s="9" t="s">
        <v>53</v>
      </c>
      <c r="I67" s="15" t="s">
        <v>95</v>
      </c>
      <c r="J67" s="15" t="s">
        <v>125</v>
      </c>
      <c r="K67" s="9"/>
      <c r="L67" s="9" t="s">
        <v>97</v>
      </c>
      <c r="M67" s="9" t="s">
        <v>103</v>
      </c>
      <c r="N67" s="16" t="s">
        <v>42</v>
      </c>
      <c r="O67" s="17"/>
      <c r="P67" s="17"/>
      <c r="Q67" s="17"/>
      <c r="R67" s="18"/>
      <c r="S67" s="16"/>
      <c r="T67" s="17"/>
    </row>
    <row r="68" spans="1:20" ht="22.8" x14ac:dyDescent="0.3">
      <c r="A68" s="11" t="s">
        <v>389</v>
      </c>
      <c r="B68" s="9" t="s">
        <v>46</v>
      </c>
      <c r="C68" s="15" t="s">
        <v>362</v>
      </c>
      <c r="D68" s="15" t="s">
        <v>183</v>
      </c>
      <c r="E68" s="15" t="s">
        <v>95</v>
      </c>
      <c r="F68" s="15" t="s">
        <v>390</v>
      </c>
      <c r="G68" s="15" t="s">
        <v>391</v>
      </c>
      <c r="H68" s="9" t="s">
        <v>52</v>
      </c>
      <c r="I68" s="15" t="s">
        <v>133</v>
      </c>
      <c r="J68" s="15" t="s">
        <v>133</v>
      </c>
      <c r="K68" s="9" t="s">
        <v>392</v>
      </c>
      <c r="L68" s="9" t="s">
        <v>150</v>
      </c>
      <c r="M68" s="9" t="s">
        <v>103</v>
      </c>
      <c r="N68" s="16" t="s">
        <v>42</v>
      </c>
      <c r="O68" s="17"/>
      <c r="P68" s="17"/>
      <c r="Q68" s="17"/>
      <c r="R68" s="18"/>
      <c r="S68" s="16"/>
      <c r="T68" s="17"/>
    </row>
    <row r="69" spans="1:20" ht="22.8" x14ac:dyDescent="0.3">
      <c r="A69" s="11" t="s">
        <v>393</v>
      </c>
      <c r="B69" s="9" t="s">
        <v>46</v>
      </c>
      <c r="C69" s="15" t="s">
        <v>362</v>
      </c>
      <c r="D69" s="15" t="s">
        <v>258</v>
      </c>
      <c r="E69" s="15" t="s">
        <v>394</v>
      </c>
      <c r="F69" s="15" t="s">
        <v>395</v>
      </c>
      <c r="G69" s="15" t="s">
        <v>396</v>
      </c>
      <c r="H69" s="9" t="s">
        <v>52</v>
      </c>
      <c r="I69" s="15" t="s">
        <v>133</v>
      </c>
      <c r="J69" s="15" t="s">
        <v>133</v>
      </c>
      <c r="K69" s="9" t="s">
        <v>397</v>
      </c>
      <c r="L69" s="9" t="s">
        <v>150</v>
      </c>
      <c r="M69" s="9" t="s">
        <v>103</v>
      </c>
      <c r="N69" s="16" t="s">
        <v>42</v>
      </c>
      <c r="O69" s="17"/>
      <c r="P69" s="17"/>
      <c r="Q69" s="17"/>
      <c r="R69" s="18"/>
      <c r="S69" s="16"/>
      <c r="T69" s="17"/>
    </row>
    <row r="70" spans="1:20" ht="34.200000000000003" x14ac:dyDescent="0.3">
      <c r="A70" s="11" t="s">
        <v>398</v>
      </c>
      <c r="B70" s="9" t="s">
        <v>46</v>
      </c>
      <c r="C70" s="15" t="s">
        <v>362</v>
      </c>
      <c r="D70" s="15" t="s">
        <v>183</v>
      </c>
      <c r="E70" s="15" t="s">
        <v>95</v>
      </c>
      <c r="F70" s="15" t="s">
        <v>399</v>
      </c>
      <c r="G70" s="15" t="s">
        <v>400</v>
      </c>
      <c r="H70" s="9" t="s">
        <v>52</v>
      </c>
      <c r="I70" s="15" t="s">
        <v>401</v>
      </c>
      <c r="J70" s="15" t="s">
        <v>401</v>
      </c>
      <c r="K70" s="9" t="s">
        <v>402</v>
      </c>
      <c r="L70" s="9" t="s">
        <v>150</v>
      </c>
      <c r="M70" s="9" t="s">
        <v>103</v>
      </c>
      <c r="N70" s="16" t="s">
        <v>42</v>
      </c>
      <c r="O70" s="17"/>
      <c r="P70" s="17"/>
      <c r="Q70" s="17"/>
      <c r="R70" s="18"/>
      <c r="S70" s="16"/>
      <c r="T70" s="17"/>
    </row>
    <row r="71" spans="1:20" ht="22.8" x14ac:dyDescent="0.3">
      <c r="A71" s="11" t="s">
        <v>403</v>
      </c>
      <c r="B71" s="9" t="s">
        <v>46</v>
      </c>
      <c r="C71" s="15" t="s">
        <v>362</v>
      </c>
      <c r="D71" s="15" t="s">
        <v>183</v>
      </c>
      <c r="E71" s="15" t="s">
        <v>404</v>
      </c>
      <c r="F71" s="15" t="s">
        <v>405</v>
      </c>
      <c r="G71" s="15" t="s">
        <v>406</v>
      </c>
      <c r="H71" s="9" t="s">
        <v>53</v>
      </c>
      <c r="I71" s="15" t="s">
        <v>133</v>
      </c>
      <c r="J71" s="15" t="s">
        <v>133</v>
      </c>
      <c r="K71" s="9"/>
      <c r="L71" s="9" t="s">
        <v>97</v>
      </c>
      <c r="M71" s="9" t="s">
        <v>103</v>
      </c>
      <c r="N71" s="16" t="s">
        <v>42</v>
      </c>
      <c r="O71" s="17"/>
      <c r="P71" s="17"/>
      <c r="Q71" s="17"/>
      <c r="R71" s="18"/>
      <c r="S71" s="16"/>
      <c r="T71" s="17"/>
    </row>
    <row r="72" spans="1:20" ht="22.8" x14ac:dyDescent="0.3">
      <c r="A72" s="11" t="s">
        <v>407</v>
      </c>
      <c r="B72" s="9" t="s">
        <v>46</v>
      </c>
      <c r="C72" s="15" t="s">
        <v>362</v>
      </c>
      <c r="D72" s="15" t="s">
        <v>183</v>
      </c>
      <c r="E72" s="15" t="s">
        <v>95</v>
      </c>
      <c r="F72" s="15" t="s">
        <v>408</v>
      </c>
      <c r="G72" s="15" t="s">
        <v>409</v>
      </c>
      <c r="H72" s="9" t="s">
        <v>53</v>
      </c>
      <c r="I72" s="15" t="s">
        <v>95</v>
      </c>
      <c r="J72" s="15" t="s">
        <v>125</v>
      </c>
      <c r="K72" s="9"/>
      <c r="L72" s="9" t="s">
        <v>97</v>
      </c>
      <c r="M72" s="9" t="s">
        <v>103</v>
      </c>
      <c r="N72" s="16" t="s">
        <v>42</v>
      </c>
      <c r="O72" s="17"/>
      <c r="P72" s="17"/>
      <c r="Q72" s="17"/>
      <c r="R72" s="18"/>
      <c r="S72" s="16"/>
      <c r="T72" s="17"/>
    </row>
    <row r="73" spans="1:20" ht="34.200000000000003" x14ac:dyDescent="0.3">
      <c r="A73" s="11" t="s">
        <v>410</v>
      </c>
      <c r="B73" s="9" t="s">
        <v>46</v>
      </c>
      <c r="C73" s="15" t="s">
        <v>362</v>
      </c>
      <c r="D73" s="15" t="s">
        <v>176</v>
      </c>
      <c r="E73" s="15" t="s">
        <v>95</v>
      </c>
      <c r="F73" s="15" t="s">
        <v>411</v>
      </c>
      <c r="G73" s="15" t="s">
        <v>412</v>
      </c>
      <c r="H73" s="9" t="s">
        <v>53</v>
      </c>
      <c r="I73" s="15" t="s">
        <v>365</v>
      </c>
      <c r="J73" s="15" t="s">
        <v>365</v>
      </c>
      <c r="K73" s="9" t="s">
        <v>413</v>
      </c>
      <c r="L73" s="9" t="s">
        <v>150</v>
      </c>
      <c r="M73" s="9" t="s">
        <v>103</v>
      </c>
      <c r="N73" s="16" t="s">
        <v>42</v>
      </c>
      <c r="O73" s="17"/>
      <c r="P73" s="17"/>
      <c r="Q73" s="17"/>
      <c r="R73" s="18"/>
      <c r="S73" s="16"/>
      <c r="T73" s="17"/>
    </row>
    <row r="74" spans="1:20" ht="34.200000000000003" x14ac:dyDescent="0.3">
      <c r="A74" s="11" t="s">
        <v>414</v>
      </c>
      <c r="B74" s="9" t="s">
        <v>46</v>
      </c>
      <c r="C74" s="15" t="s">
        <v>362</v>
      </c>
      <c r="D74" s="15" t="s">
        <v>183</v>
      </c>
      <c r="E74" s="15" t="s">
        <v>415</v>
      </c>
      <c r="F74" s="15" t="s">
        <v>416</v>
      </c>
      <c r="G74" s="15" t="s">
        <v>417</v>
      </c>
      <c r="H74" s="9" t="s">
        <v>53</v>
      </c>
      <c r="I74" s="15" t="s">
        <v>418</v>
      </c>
      <c r="J74" s="15" t="s">
        <v>419</v>
      </c>
      <c r="K74" s="9" t="s">
        <v>420</v>
      </c>
      <c r="L74" s="9" t="s">
        <v>150</v>
      </c>
      <c r="M74" s="9" t="s">
        <v>103</v>
      </c>
      <c r="N74" s="16" t="s">
        <v>42</v>
      </c>
      <c r="O74" s="17"/>
      <c r="P74" s="17"/>
      <c r="Q74" s="17"/>
      <c r="R74" s="18"/>
      <c r="S74" s="16"/>
      <c r="T74" s="17"/>
    </row>
    <row r="75" spans="1:20" ht="22.8" x14ac:dyDescent="0.3">
      <c r="A75" s="11" t="s">
        <v>421</v>
      </c>
      <c r="B75" s="9" t="s">
        <v>46</v>
      </c>
      <c r="C75" s="15" t="s">
        <v>422</v>
      </c>
      <c r="D75" s="15" t="s">
        <v>196</v>
      </c>
      <c r="E75" s="15" t="s">
        <v>423</v>
      </c>
      <c r="F75" s="15" t="s">
        <v>424</v>
      </c>
      <c r="G75" s="15" t="s">
        <v>425</v>
      </c>
      <c r="H75" s="9" t="s">
        <v>52</v>
      </c>
      <c r="I75" s="15" t="s">
        <v>426</v>
      </c>
      <c r="J75" s="15" t="s">
        <v>426</v>
      </c>
      <c r="K75" s="9"/>
      <c r="L75" s="9" t="s">
        <v>97</v>
      </c>
      <c r="M75" s="9" t="s">
        <v>103</v>
      </c>
      <c r="N75" s="16" t="s">
        <v>42</v>
      </c>
      <c r="O75" s="17"/>
      <c r="P75" s="17"/>
      <c r="Q75" s="17"/>
      <c r="R75" s="18"/>
      <c r="S75" s="16"/>
      <c r="T75" s="17"/>
    </row>
    <row r="76" spans="1:20" ht="22.8" x14ac:dyDescent="0.3">
      <c r="A76" s="11" t="s">
        <v>427</v>
      </c>
      <c r="B76" s="9" t="s">
        <v>46</v>
      </c>
      <c r="C76" s="15" t="s">
        <v>422</v>
      </c>
      <c r="D76" s="15" t="s">
        <v>196</v>
      </c>
      <c r="E76" s="15" t="s">
        <v>95</v>
      </c>
      <c r="F76" s="15" t="s">
        <v>428</v>
      </c>
      <c r="G76" s="15" t="s">
        <v>429</v>
      </c>
      <c r="H76" s="9" t="s">
        <v>52</v>
      </c>
      <c r="I76" s="15" t="s">
        <v>133</v>
      </c>
      <c r="J76" s="15" t="s">
        <v>133</v>
      </c>
      <c r="K76" s="9"/>
      <c r="L76" s="9" t="s">
        <v>97</v>
      </c>
      <c r="M76" s="9" t="s">
        <v>103</v>
      </c>
      <c r="N76" s="16" t="s">
        <v>42</v>
      </c>
      <c r="O76" s="17"/>
      <c r="P76" s="17"/>
      <c r="Q76" s="17"/>
      <c r="R76" s="18"/>
      <c r="S76" s="16"/>
      <c r="T76" s="17"/>
    </row>
    <row r="77" spans="1:20" ht="22.8" x14ac:dyDescent="0.3">
      <c r="A77" s="11" t="s">
        <v>430</v>
      </c>
      <c r="B77" s="9" t="s">
        <v>46</v>
      </c>
      <c r="C77" s="15" t="s">
        <v>422</v>
      </c>
      <c r="D77" s="15" t="s">
        <v>196</v>
      </c>
      <c r="E77" s="15" t="s">
        <v>95</v>
      </c>
      <c r="F77" s="15" t="s">
        <v>431</v>
      </c>
      <c r="G77" s="15" t="s">
        <v>432</v>
      </c>
      <c r="H77" s="9" t="s">
        <v>53</v>
      </c>
      <c r="I77" s="15" t="s">
        <v>95</v>
      </c>
      <c r="J77" s="15" t="s">
        <v>125</v>
      </c>
      <c r="K77" s="9"/>
      <c r="L77" s="9" t="s">
        <v>97</v>
      </c>
      <c r="M77" s="9" t="s">
        <v>103</v>
      </c>
      <c r="N77" s="16" t="s">
        <v>42</v>
      </c>
      <c r="O77" s="17"/>
      <c r="P77" s="17"/>
      <c r="Q77" s="17"/>
      <c r="R77" s="18"/>
      <c r="S77" s="16"/>
      <c r="T77" s="17"/>
    </row>
    <row r="78" spans="1:20" ht="22.8" x14ac:dyDescent="0.3">
      <c r="A78" s="11" t="s">
        <v>433</v>
      </c>
      <c r="B78" s="9" t="s">
        <v>46</v>
      </c>
      <c r="C78" s="15" t="s">
        <v>422</v>
      </c>
      <c r="D78" s="15" t="s">
        <v>196</v>
      </c>
      <c r="E78" s="15" t="s">
        <v>95</v>
      </c>
      <c r="F78" s="15" t="s">
        <v>434</v>
      </c>
      <c r="G78" s="15" t="s">
        <v>435</v>
      </c>
      <c r="H78" s="9" t="s">
        <v>53</v>
      </c>
      <c r="I78" s="15" t="s">
        <v>95</v>
      </c>
      <c r="J78" s="15" t="s">
        <v>125</v>
      </c>
      <c r="K78" s="9"/>
      <c r="L78" s="9" t="s">
        <v>97</v>
      </c>
      <c r="M78" s="9" t="s">
        <v>103</v>
      </c>
      <c r="N78" s="16" t="s">
        <v>42</v>
      </c>
      <c r="O78" s="17"/>
      <c r="P78" s="17"/>
      <c r="Q78" s="17"/>
      <c r="R78" s="18"/>
      <c r="S78" s="16"/>
      <c r="T78" s="17"/>
    </row>
    <row r="79" spans="1:20" ht="22.8" x14ac:dyDescent="0.3">
      <c r="A79" s="11" t="s">
        <v>436</v>
      </c>
      <c r="B79" s="9" t="s">
        <v>46</v>
      </c>
      <c r="C79" s="15" t="s">
        <v>422</v>
      </c>
      <c r="D79" s="15" t="s">
        <v>196</v>
      </c>
      <c r="E79" s="15" t="s">
        <v>95</v>
      </c>
      <c r="F79" s="15" t="s">
        <v>437</v>
      </c>
      <c r="G79" s="15" t="s">
        <v>438</v>
      </c>
      <c r="H79" s="9" t="s">
        <v>52</v>
      </c>
      <c r="I79" s="15" t="s">
        <v>439</v>
      </c>
      <c r="J79" s="15" t="s">
        <v>439</v>
      </c>
      <c r="K79" s="9"/>
      <c r="L79" s="9" t="s">
        <v>97</v>
      </c>
      <c r="M79" s="9" t="s">
        <v>103</v>
      </c>
      <c r="N79" s="16" t="s">
        <v>42</v>
      </c>
      <c r="O79" s="17"/>
      <c r="P79" s="17"/>
      <c r="Q79" s="17"/>
      <c r="R79" s="18"/>
      <c r="S79" s="16"/>
      <c r="T79" s="17"/>
    </row>
    <row r="80" spans="1:20" ht="22.8" x14ac:dyDescent="0.3">
      <c r="A80" s="11" t="s">
        <v>440</v>
      </c>
      <c r="B80" s="9" t="s">
        <v>46</v>
      </c>
      <c r="C80" s="15" t="s">
        <v>422</v>
      </c>
      <c r="D80" s="15" t="s">
        <v>196</v>
      </c>
      <c r="E80" s="15" t="s">
        <v>441</v>
      </c>
      <c r="F80" s="15" t="s">
        <v>442</v>
      </c>
      <c r="G80" s="15" t="s">
        <v>443</v>
      </c>
      <c r="H80" s="9" t="s">
        <v>52</v>
      </c>
      <c r="I80" s="15" t="s">
        <v>444</v>
      </c>
      <c r="J80" s="15" t="s">
        <v>445</v>
      </c>
      <c r="K80" s="9" t="s">
        <v>446</v>
      </c>
      <c r="L80" s="9" t="s">
        <v>150</v>
      </c>
      <c r="M80" s="9" t="s">
        <v>103</v>
      </c>
      <c r="N80" s="16" t="s">
        <v>42</v>
      </c>
      <c r="O80" s="17"/>
      <c r="P80" s="17"/>
      <c r="Q80" s="17"/>
      <c r="R80" s="18"/>
      <c r="S80" s="16"/>
      <c r="T80" s="17"/>
    </row>
    <row r="81" spans="1:20" ht="22.8" x14ac:dyDescent="0.3">
      <c r="A81" s="11" t="s">
        <v>447</v>
      </c>
      <c r="B81" s="9" t="s">
        <v>46</v>
      </c>
      <c r="C81" s="15" t="s">
        <v>422</v>
      </c>
      <c r="D81" s="15" t="s">
        <v>196</v>
      </c>
      <c r="E81" s="15" t="s">
        <v>95</v>
      </c>
      <c r="F81" s="15" t="s">
        <v>448</v>
      </c>
      <c r="G81" s="15" t="s">
        <v>449</v>
      </c>
      <c r="H81" s="9" t="s">
        <v>53</v>
      </c>
      <c r="I81" s="15" t="s">
        <v>439</v>
      </c>
      <c r="J81" s="15" t="s">
        <v>439</v>
      </c>
      <c r="K81" s="9"/>
      <c r="L81" s="9" t="s">
        <v>97</v>
      </c>
      <c r="M81" s="9" t="s">
        <v>103</v>
      </c>
      <c r="N81" s="16" t="s">
        <v>42</v>
      </c>
      <c r="O81" s="17"/>
      <c r="P81" s="17"/>
      <c r="Q81" s="17"/>
      <c r="R81" s="18"/>
      <c r="S81" s="16"/>
      <c r="T81" s="17"/>
    </row>
    <row r="82" spans="1:20" ht="22.8" x14ac:dyDescent="0.3">
      <c r="A82" s="11" t="s">
        <v>450</v>
      </c>
      <c r="B82" s="9" t="s">
        <v>46</v>
      </c>
      <c r="C82" s="15" t="s">
        <v>422</v>
      </c>
      <c r="D82" s="15" t="s">
        <v>196</v>
      </c>
      <c r="E82" s="15" t="s">
        <v>95</v>
      </c>
      <c r="F82" s="15" t="s">
        <v>451</v>
      </c>
      <c r="G82" s="15" t="s">
        <v>452</v>
      </c>
      <c r="H82" s="9" t="s">
        <v>52</v>
      </c>
      <c r="I82" s="15" t="s">
        <v>453</v>
      </c>
      <c r="J82" s="15" t="s">
        <v>454</v>
      </c>
      <c r="K82" s="9" t="s">
        <v>455</v>
      </c>
      <c r="L82" s="9" t="s">
        <v>150</v>
      </c>
      <c r="M82" s="9" t="s">
        <v>103</v>
      </c>
      <c r="N82" s="16" t="s">
        <v>42</v>
      </c>
      <c r="O82" s="17"/>
      <c r="P82" s="17"/>
      <c r="Q82" s="17"/>
      <c r="R82" s="18"/>
      <c r="S82" s="16"/>
      <c r="T82" s="17"/>
    </row>
    <row r="83" spans="1:20" ht="22.8" x14ac:dyDescent="0.3">
      <c r="A83" s="11" t="s">
        <v>456</v>
      </c>
      <c r="B83" s="9" t="s">
        <v>46</v>
      </c>
      <c r="C83" s="15" t="s">
        <v>422</v>
      </c>
      <c r="D83" s="15" t="s">
        <v>201</v>
      </c>
      <c r="E83" s="15" t="s">
        <v>457</v>
      </c>
      <c r="F83" s="15" t="s">
        <v>458</v>
      </c>
      <c r="G83" s="15" t="s">
        <v>459</v>
      </c>
      <c r="H83" s="9" t="s">
        <v>52</v>
      </c>
      <c r="I83" s="15" t="s">
        <v>460</v>
      </c>
      <c r="J83" s="15" t="s">
        <v>161</v>
      </c>
      <c r="K83" s="9"/>
      <c r="L83" s="9" t="s">
        <v>97</v>
      </c>
      <c r="M83" s="9" t="s">
        <v>103</v>
      </c>
      <c r="N83" s="16" t="s">
        <v>42</v>
      </c>
      <c r="O83" s="17"/>
      <c r="P83" s="17"/>
      <c r="Q83" s="17"/>
      <c r="R83" s="18"/>
      <c r="S83" s="16"/>
      <c r="T83" s="17"/>
    </row>
    <row r="84" spans="1:20" ht="22.8" x14ac:dyDescent="0.3">
      <c r="A84" s="11" t="s">
        <v>461</v>
      </c>
      <c r="B84" s="9" t="s">
        <v>46</v>
      </c>
      <c r="C84" s="15" t="s">
        <v>422</v>
      </c>
      <c r="D84" s="15" t="s">
        <v>201</v>
      </c>
      <c r="E84" s="15" t="s">
        <v>95</v>
      </c>
      <c r="F84" s="15" t="s">
        <v>462</v>
      </c>
      <c r="G84" s="15" t="s">
        <v>463</v>
      </c>
      <c r="H84" s="9" t="s">
        <v>53</v>
      </c>
      <c r="I84" s="15" t="s">
        <v>95</v>
      </c>
      <c r="J84" s="15" t="s">
        <v>125</v>
      </c>
      <c r="K84" s="9"/>
      <c r="L84" s="9" t="s">
        <v>97</v>
      </c>
      <c r="M84" s="9" t="s">
        <v>103</v>
      </c>
      <c r="N84" s="16" t="s">
        <v>42</v>
      </c>
      <c r="O84" s="17"/>
      <c r="P84" s="17"/>
      <c r="Q84" s="17"/>
      <c r="R84" s="18"/>
      <c r="S84" s="16"/>
      <c r="T84" s="17"/>
    </row>
    <row r="85" spans="1:20" ht="45.6" x14ac:dyDescent="0.3">
      <c r="A85" s="11" t="s">
        <v>464</v>
      </c>
      <c r="B85" s="9" t="s">
        <v>46</v>
      </c>
      <c r="C85" s="15" t="s">
        <v>422</v>
      </c>
      <c r="D85" s="15" t="s">
        <v>465</v>
      </c>
      <c r="E85" s="15" t="s">
        <v>95</v>
      </c>
      <c r="F85" s="15" t="s">
        <v>466</v>
      </c>
      <c r="G85" s="15" t="s">
        <v>467</v>
      </c>
      <c r="H85" s="9" t="s">
        <v>52</v>
      </c>
      <c r="I85" s="15" t="s">
        <v>468</v>
      </c>
      <c r="J85" s="15" t="s">
        <v>125</v>
      </c>
      <c r="K85" s="9" t="s">
        <v>469</v>
      </c>
      <c r="L85" s="9" t="s">
        <v>150</v>
      </c>
      <c r="M85" s="9" t="s">
        <v>103</v>
      </c>
      <c r="N85" s="16" t="s">
        <v>42</v>
      </c>
      <c r="O85" s="17"/>
      <c r="P85" s="17"/>
      <c r="Q85" s="17"/>
      <c r="R85" s="18"/>
      <c r="S85" s="16"/>
      <c r="T85" s="17"/>
    </row>
    <row r="86" spans="1:20" ht="22.8" x14ac:dyDescent="0.3">
      <c r="A86" s="11" t="s">
        <v>470</v>
      </c>
      <c r="B86" s="9" t="s">
        <v>46</v>
      </c>
      <c r="C86" s="15" t="s">
        <v>422</v>
      </c>
      <c r="D86" s="15" t="s">
        <v>201</v>
      </c>
      <c r="E86" s="15" t="s">
        <v>471</v>
      </c>
      <c r="F86" s="15" t="s">
        <v>472</v>
      </c>
      <c r="G86" s="15" t="s">
        <v>473</v>
      </c>
      <c r="H86" s="9" t="s">
        <v>53</v>
      </c>
      <c r="I86" s="15" t="s">
        <v>95</v>
      </c>
      <c r="J86" s="15" t="s">
        <v>125</v>
      </c>
      <c r="K86" s="9"/>
      <c r="L86" s="9" t="s">
        <v>97</v>
      </c>
      <c r="M86" s="9" t="s">
        <v>103</v>
      </c>
      <c r="N86" s="16" t="s">
        <v>42</v>
      </c>
      <c r="O86" s="17"/>
      <c r="P86" s="17"/>
      <c r="Q86" s="17"/>
      <c r="R86" s="18"/>
      <c r="S86" s="16"/>
      <c r="T86" s="17"/>
    </row>
    <row r="87" spans="1:20" ht="34.200000000000003" x14ac:dyDescent="0.3">
      <c r="A87" s="11" t="s">
        <v>474</v>
      </c>
      <c r="B87" s="9" t="s">
        <v>46</v>
      </c>
      <c r="C87" s="15" t="s">
        <v>422</v>
      </c>
      <c r="D87" s="15" t="s">
        <v>201</v>
      </c>
      <c r="E87" s="15" t="s">
        <v>475</v>
      </c>
      <c r="F87" s="15" t="s">
        <v>476</v>
      </c>
      <c r="G87" s="15" t="s">
        <v>477</v>
      </c>
      <c r="H87" s="9" t="s">
        <v>53</v>
      </c>
      <c r="I87" s="15" t="s">
        <v>204</v>
      </c>
      <c r="J87" s="15" t="s">
        <v>161</v>
      </c>
      <c r="K87" s="9" t="s">
        <v>166</v>
      </c>
      <c r="L87" s="9" t="s">
        <v>150</v>
      </c>
      <c r="M87" s="9" t="s">
        <v>103</v>
      </c>
      <c r="N87" s="16" t="s">
        <v>42</v>
      </c>
      <c r="O87" s="17"/>
      <c r="P87" s="17"/>
      <c r="Q87" s="17"/>
      <c r="R87" s="18"/>
      <c r="S87" s="16"/>
      <c r="T87" s="17"/>
    </row>
    <row r="88" spans="1:20" ht="34.200000000000003" x14ac:dyDescent="0.3">
      <c r="A88" s="11" t="s">
        <v>478</v>
      </c>
      <c r="B88" s="9" t="s">
        <v>46</v>
      </c>
      <c r="C88" s="15" t="s">
        <v>422</v>
      </c>
      <c r="D88" s="15" t="s">
        <v>196</v>
      </c>
      <c r="E88" s="15" t="s">
        <v>479</v>
      </c>
      <c r="F88" s="15" t="s">
        <v>480</v>
      </c>
      <c r="G88" s="15" t="s">
        <v>481</v>
      </c>
      <c r="H88" s="9" t="s">
        <v>53</v>
      </c>
      <c r="I88" s="15" t="s">
        <v>482</v>
      </c>
      <c r="J88" s="15" t="s">
        <v>483</v>
      </c>
      <c r="K88" s="9" t="s">
        <v>484</v>
      </c>
      <c r="L88" s="9" t="s">
        <v>150</v>
      </c>
      <c r="M88" s="9" t="s">
        <v>103</v>
      </c>
      <c r="N88" s="16" t="s">
        <v>42</v>
      </c>
      <c r="O88" s="17"/>
      <c r="P88" s="17"/>
      <c r="Q88" s="17"/>
      <c r="R88" s="18"/>
      <c r="S88" s="16"/>
      <c r="T88" s="17"/>
    </row>
    <row r="89" spans="1:20" ht="22.8" x14ac:dyDescent="0.3">
      <c r="A89" s="11" t="s">
        <v>485</v>
      </c>
      <c r="B89" s="9" t="s">
        <v>46</v>
      </c>
      <c r="C89" s="15" t="s">
        <v>486</v>
      </c>
      <c r="D89" s="15" t="s">
        <v>487</v>
      </c>
      <c r="E89" s="15" t="s">
        <v>95</v>
      </c>
      <c r="F89" s="15" t="s">
        <v>488</v>
      </c>
      <c r="G89" s="15" t="s">
        <v>489</v>
      </c>
      <c r="H89" s="9" t="s">
        <v>52</v>
      </c>
      <c r="I89" s="15" t="s">
        <v>490</v>
      </c>
      <c r="J89" s="15" t="s">
        <v>491</v>
      </c>
      <c r="K89" s="9" t="s">
        <v>149</v>
      </c>
      <c r="L89" s="9" t="s">
        <v>150</v>
      </c>
      <c r="M89" s="9" t="s">
        <v>103</v>
      </c>
      <c r="N89" s="16" t="s">
        <v>42</v>
      </c>
      <c r="O89" s="17"/>
      <c r="P89" s="17"/>
      <c r="Q89" s="17"/>
      <c r="R89" s="18"/>
      <c r="S89" s="16"/>
      <c r="T89" s="17"/>
    </row>
    <row r="90" spans="1:20" ht="22.8" x14ac:dyDescent="0.3">
      <c r="A90" s="11" t="s">
        <v>492</v>
      </c>
      <c r="B90" s="9" t="s">
        <v>46</v>
      </c>
      <c r="C90" s="15" t="s">
        <v>486</v>
      </c>
      <c r="D90" s="15" t="s">
        <v>183</v>
      </c>
      <c r="E90" s="15" t="s">
        <v>95</v>
      </c>
      <c r="F90" s="15" t="s">
        <v>493</v>
      </c>
      <c r="G90" s="15" t="s">
        <v>494</v>
      </c>
      <c r="H90" s="9" t="s">
        <v>53</v>
      </c>
      <c r="I90" s="15" t="s">
        <v>495</v>
      </c>
      <c r="J90" s="15" t="s">
        <v>495</v>
      </c>
      <c r="K90" s="9"/>
      <c r="L90" s="9" t="s">
        <v>97</v>
      </c>
      <c r="M90" s="9" t="s">
        <v>103</v>
      </c>
      <c r="N90" s="16" t="s">
        <v>42</v>
      </c>
      <c r="O90" s="17"/>
      <c r="P90" s="17"/>
      <c r="Q90" s="17"/>
      <c r="R90" s="18"/>
      <c r="S90" s="16"/>
      <c r="T90" s="17"/>
    </row>
    <row r="91" spans="1:20" ht="34.200000000000003" x14ac:dyDescent="0.3">
      <c r="A91" s="11" t="s">
        <v>496</v>
      </c>
      <c r="B91" s="9" t="s">
        <v>46</v>
      </c>
      <c r="C91" s="15" t="s">
        <v>486</v>
      </c>
      <c r="D91" s="15" t="s">
        <v>183</v>
      </c>
      <c r="E91" s="15" t="s">
        <v>95</v>
      </c>
      <c r="F91" s="15" t="s">
        <v>497</v>
      </c>
      <c r="G91" s="15" t="s">
        <v>498</v>
      </c>
      <c r="H91" s="9" t="s">
        <v>52</v>
      </c>
      <c r="I91" s="15" t="s">
        <v>95</v>
      </c>
      <c r="J91" s="15" t="s">
        <v>125</v>
      </c>
      <c r="K91" s="9"/>
      <c r="L91" s="9" t="s">
        <v>97</v>
      </c>
      <c r="M91" s="9" t="s">
        <v>103</v>
      </c>
      <c r="N91" s="16" t="s">
        <v>42</v>
      </c>
      <c r="O91" s="17"/>
      <c r="P91" s="17"/>
      <c r="Q91" s="17"/>
      <c r="R91" s="18"/>
      <c r="S91" s="16"/>
      <c r="T91" s="17"/>
    </row>
    <row r="92" spans="1:20" ht="22.8" x14ac:dyDescent="0.3">
      <c r="A92" s="11" t="s">
        <v>499</v>
      </c>
      <c r="B92" s="9" t="s">
        <v>46</v>
      </c>
      <c r="C92" s="15" t="s">
        <v>486</v>
      </c>
      <c r="D92" s="15" t="s">
        <v>183</v>
      </c>
      <c r="E92" s="15" t="s">
        <v>95</v>
      </c>
      <c r="F92" s="15" t="s">
        <v>500</v>
      </c>
      <c r="G92" s="15" t="s">
        <v>501</v>
      </c>
      <c r="H92" s="9" t="s">
        <v>52</v>
      </c>
      <c r="I92" s="15" t="s">
        <v>502</v>
      </c>
      <c r="J92" s="15" t="s">
        <v>137</v>
      </c>
      <c r="K92" s="9"/>
      <c r="L92" s="9" t="s">
        <v>97</v>
      </c>
      <c r="M92" s="9" t="s">
        <v>98</v>
      </c>
      <c r="N92" s="16" t="s">
        <v>42</v>
      </c>
      <c r="O92" s="17"/>
      <c r="P92" s="17"/>
      <c r="Q92" s="17"/>
      <c r="R92" s="18"/>
      <c r="S92" s="16"/>
      <c r="T92" s="17"/>
    </row>
    <row r="93" spans="1:20" ht="34.200000000000003" x14ac:dyDescent="0.3">
      <c r="A93" s="11" t="s">
        <v>503</v>
      </c>
      <c r="B93" s="9" t="s">
        <v>46</v>
      </c>
      <c r="C93" s="15" t="s">
        <v>486</v>
      </c>
      <c r="D93" s="15" t="s">
        <v>196</v>
      </c>
      <c r="E93" s="15" t="s">
        <v>504</v>
      </c>
      <c r="F93" s="15" t="s">
        <v>505</v>
      </c>
      <c r="G93" s="15" t="s">
        <v>506</v>
      </c>
      <c r="H93" s="9" t="s">
        <v>52</v>
      </c>
      <c r="I93" s="15" t="s">
        <v>507</v>
      </c>
      <c r="J93" s="15" t="s">
        <v>508</v>
      </c>
      <c r="K93" s="9" t="s">
        <v>509</v>
      </c>
      <c r="L93" s="9" t="s">
        <v>150</v>
      </c>
      <c r="M93" s="9" t="s">
        <v>98</v>
      </c>
      <c r="N93" s="16" t="s">
        <v>42</v>
      </c>
      <c r="O93" s="17"/>
      <c r="P93" s="17"/>
      <c r="Q93" s="17"/>
      <c r="R93" s="18"/>
      <c r="S93" s="16"/>
      <c r="T93" s="17"/>
    </row>
    <row r="94" spans="1:20" ht="22.8" x14ac:dyDescent="0.3">
      <c r="A94" s="11" t="s">
        <v>510</v>
      </c>
      <c r="B94" s="9" t="s">
        <v>46</v>
      </c>
      <c r="C94" s="15" t="s">
        <v>486</v>
      </c>
      <c r="D94" s="15" t="s">
        <v>196</v>
      </c>
      <c r="E94" s="15" t="s">
        <v>503</v>
      </c>
      <c r="F94" s="15" t="s">
        <v>511</v>
      </c>
      <c r="G94" s="15" t="s">
        <v>512</v>
      </c>
      <c r="H94" s="9" t="s">
        <v>52</v>
      </c>
      <c r="I94" s="15" t="s">
        <v>513</v>
      </c>
      <c r="J94" s="15" t="s">
        <v>514</v>
      </c>
      <c r="K94" s="9"/>
      <c r="L94" s="9" t="s">
        <v>97</v>
      </c>
      <c r="M94" s="9" t="s">
        <v>103</v>
      </c>
      <c r="N94" s="16" t="s">
        <v>42</v>
      </c>
      <c r="O94" s="17"/>
      <c r="P94" s="17"/>
      <c r="Q94" s="17"/>
      <c r="R94" s="18"/>
      <c r="S94" s="16"/>
      <c r="T94" s="17"/>
    </row>
    <row r="95" spans="1:20" ht="22.8" x14ac:dyDescent="0.3">
      <c r="A95" s="11" t="s">
        <v>515</v>
      </c>
      <c r="B95" s="9" t="s">
        <v>46</v>
      </c>
      <c r="C95" s="15" t="s">
        <v>486</v>
      </c>
      <c r="D95" s="15" t="s">
        <v>183</v>
      </c>
      <c r="E95" s="15" t="s">
        <v>95</v>
      </c>
      <c r="F95" s="15" t="s">
        <v>516</v>
      </c>
      <c r="G95" s="15" t="s">
        <v>517</v>
      </c>
      <c r="H95" s="9" t="s">
        <v>53</v>
      </c>
      <c r="I95" s="15" t="s">
        <v>518</v>
      </c>
      <c r="J95" s="15" t="s">
        <v>519</v>
      </c>
      <c r="K95" s="9" t="s">
        <v>149</v>
      </c>
      <c r="L95" s="9" t="s">
        <v>150</v>
      </c>
      <c r="M95" s="9" t="s">
        <v>103</v>
      </c>
      <c r="N95" s="16" t="s">
        <v>42</v>
      </c>
      <c r="O95" s="17"/>
      <c r="P95" s="17"/>
      <c r="Q95" s="17"/>
      <c r="R95" s="18"/>
      <c r="S95" s="16"/>
      <c r="T95" s="17"/>
    </row>
    <row r="96" spans="1:20" ht="22.8" x14ac:dyDescent="0.3">
      <c r="A96" s="11" t="s">
        <v>520</v>
      </c>
      <c r="B96" s="9" t="s">
        <v>46</v>
      </c>
      <c r="C96" s="15" t="s">
        <v>486</v>
      </c>
      <c r="D96" s="15" t="s">
        <v>196</v>
      </c>
      <c r="E96" s="15" t="s">
        <v>521</v>
      </c>
      <c r="F96" s="15" t="s">
        <v>522</v>
      </c>
      <c r="G96" s="15" t="s">
        <v>523</v>
      </c>
      <c r="H96" s="9" t="s">
        <v>53</v>
      </c>
      <c r="I96" s="15" t="s">
        <v>95</v>
      </c>
      <c r="J96" s="15" t="s">
        <v>125</v>
      </c>
      <c r="K96" s="9"/>
      <c r="L96" s="9" t="s">
        <v>97</v>
      </c>
      <c r="M96" s="9" t="s">
        <v>103</v>
      </c>
      <c r="N96" s="16" t="s">
        <v>42</v>
      </c>
      <c r="O96" s="17"/>
      <c r="P96" s="17"/>
      <c r="Q96" s="17"/>
      <c r="R96" s="18"/>
      <c r="S96" s="16"/>
      <c r="T96" s="17"/>
    </row>
    <row r="97" spans="1:20" ht="57" x14ac:dyDescent="0.3">
      <c r="A97" s="11" t="s">
        <v>524</v>
      </c>
      <c r="B97" s="9" t="s">
        <v>46</v>
      </c>
      <c r="C97" s="15" t="s">
        <v>525</v>
      </c>
      <c r="D97" s="15" t="s">
        <v>196</v>
      </c>
      <c r="E97" s="15" t="s">
        <v>526</v>
      </c>
      <c r="F97" s="15" t="s">
        <v>527</v>
      </c>
      <c r="G97" s="15" t="s">
        <v>528</v>
      </c>
      <c r="H97" s="9" t="s">
        <v>52</v>
      </c>
      <c r="I97" s="15" t="s">
        <v>157</v>
      </c>
      <c r="J97" s="15" t="s">
        <v>157</v>
      </c>
      <c r="K97" s="9"/>
      <c r="L97" s="9" t="s">
        <v>97</v>
      </c>
      <c r="M97" s="9" t="s">
        <v>103</v>
      </c>
      <c r="N97" s="16" t="s">
        <v>42</v>
      </c>
      <c r="O97" s="17"/>
      <c r="P97" s="17"/>
      <c r="Q97" s="17"/>
      <c r="R97" s="18"/>
      <c r="S97" s="16"/>
      <c r="T97" s="17"/>
    </row>
    <row r="98" spans="1:20" ht="22.8" x14ac:dyDescent="0.3">
      <c r="A98" s="11" t="s">
        <v>529</v>
      </c>
      <c r="B98" s="9" t="s">
        <v>46</v>
      </c>
      <c r="C98" s="15" t="s">
        <v>525</v>
      </c>
      <c r="D98" s="15" t="s">
        <v>196</v>
      </c>
      <c r="E98" s="15" t="s">
        <v>95</v>
      </c>
      <c r="F98" s="15" t="s">
        <v>530</v>
      </c>
      <c r="G98" s="15" t="s">
        <v>531</v>
      </c>
      <c r="H98" s="9" t="s">
        <v>53</v>
      </c>
      <c r="I98" s="15" t="s">
        <v>95</v>
      </c>
      <c r="J98" s="15" t="s">
        <v>125</v>
      </c>
      <c r="K98" s="9"/>
      <c r="L98" s="9" t="s">
        <v>97</v>
      </c>
      <c r="M98" s="9" t="s">
        <v>103</v>
      </c>
      <c r="N98" s="16" t="s">
        <v>42</v>
      </c>
      <c r="O98" s="17"/>
      <c r="P98" s="17"/>
      <c r="Q98" s="17"/>
      <c r="R98" s="18"/>
      <c r="S98" s="16"/>
      <c r="T98" s="17"/>
    </row>
    <row r="99" spans="1:20" ht="22.8" x14ac:dyDescent="0.3">
      <c r="A99" s="11" t="s">
        <v>532</v>
      </c>
      <c r="B99" s="9" t="s">
        <v>46</v>
      </c>
      <c r="C99" s="15" t="s">
        <v>525</v>
      </c>
      <c r="D99" s="15" t="s">
        <v>196</v>
      </c>
      <c r="E99" s="15" t="s">
        <v>95</v>
      </c>
      <c r="F99" s="15" t="s">
        <v>533</v>
      </c>
      <c r="G99" s="15" t="s">
        <v>534</v>
      </c>
      <c r="H99" s="9" t="s">
        <v>53</v>
      </c>
      <c r="I99" s="15" t="s">
        <v>95</v>
      </c>
      <c r="J99" s="15" t="s">
        <v>125</v>
      </c>
      <c r="K99" s="9"/>
      <c r="L99" s="9" t="s">
        <v>97</v>
      </c>
      <c r="M99" s="9" t="s">
        <v>103</v>
      </c>
      <c r="N99" s="16" t="s">
        <v>42</v>
      </c>
      <c r="O99" s="17"/>
      <c r="P99" s="17"/>
      <c r="Q99" s="17"/>
      <c r="R99" s="18"/>
      <c r="S99" s="16"/>
      <c r="T99" s="17"/>
    </row>
    <row r="100" spans="1:20" ht="34.200000000000003" x14ac:dyDescent="0.3">
      <c r="A100" s="11" t="s">
        <v>535</v>
      </c>
      <c r="B100" s="9" t="s">
        <v>46</v>
      </c>
      <c r="C100" s="15" t="s">
        <v>525</v>
      </c>
      <c r="D100" s="15" t="s">
        <v>196</v>
      </c>
      <c r="E100" s="15" t="s">
        <v>536</v>
      </c>
      <c r="F100" s="15" t="s">
        <v>537</v>
      </c>
      <c r="G100" s="15" t="s">
        <v>538</v>
      </c>
      <c r="H100" s="9" t="s">
        <v>52</v>
      </c>
      <c r="I100" s="15" t="s">
        <v>539</v>
      </c>
      <c r="J100" s="15" t="s">
        <v>539</v>
      </c>
      <c r="K100" s="9"/>
      <c r="L100" s="9" t="s">
        <v>97</v>
      </c>
      <c r="M100" s="9" t="s">
        <v>103</v>
      </c>
      <c r="N100" s="16" t="s">
        <v>42</v>
      </c>
      <c r="O100" s="17"/>
      <c r="P100" s="17"/>
      <c r="Q100" s="17"/>
      <c r="R100" s="18"/>
      <c r="S100" s="16"/>
      <c r="T100" s="17"/>
    </row>
    <row r="101" spans="1:20" ht="45.6" x14ac:dyDescent="0.3">
      <c r="A101" s="11" t="s">
        <v>540</v>
      </c>
      <c r="B101" s="9" t="s">
        <v>46</v>
      </c>
      <c r="C101" s="15" t="s">
        <v>525</v>
      </c>
      <c r="D101" s="15" t="s">
        <v>196</v>
      </c>
      <c r="E101" s="15" t="s">
        <v>541</v>
      </c>
      <c r="F101" s="15" t="s">
        <v>542</v>
      </c>
      <c r="G101" s="15" t="s">
        <v>543</v>
      </c>
      <c r="H101" s="9" t="s">
        <v>52</v>
      </c>
      <c r="I101" s="15" t="s">
        <v>539</v>
      </c>
      <c r="J101" s="15" t="s">
        <v>539</v>
      </c>
      <c r="K101" s="9"/>
      <c r="L101" s="9" t="s">
        <v>97</v>
      </c>
      <c r="M101" s="9" t="s">
        <v>103</v>
      </c>
      <c r="N101" s="16" t="s">
        <v>42</v>
      </c>
      <c r="O101" s="17"/>
      <c r="P101" s="17"/>
      <c r="Q101" s="17"/>
      <c r="R101" s="18"/>
      <c r="S101" s="16"/>
      <c r="T101" s="17"/>
    </row>
    <row r="102" spans="1:20" ht="22.8" x14ac:dyDescent="0.3">
      <c r="A102" s="11" t="s">
        <v>544</v>
      </c>
      <c r="B102" s="9" t="s">
        <v>46</v>
      </c>
      <c r="C102" s="15" t="s">
        <v>525</v>
      </c>
      <c r="D102" s="15" t="s">
        <v>196</v>
      </c>
      <c r="E102" s="15" t="s">
        <v>545</v>
      </c>
      <c r="F102" s="15" t="s">
        <v>546</v>
      </c>
      <c r="G102" s="15" t="s">
        <v>547</v>
      </c>
      <c r="H102" s="9" t="s">
        <v>52</v>
      </c>
      <c r="I102" s="15" t="s">
        <v>539</v>
      </c>
      <c r="J102" s="15" t="s">
        <v>539</v>
      </c>
      <c r="K102" s="9"/>
      <c r="L102" s="9" t="s">
        <v>97</v>
      </c>
      <c r="M102" s="9" t="s">
        <v>103</v>
      </c>
      <c r="N102" s="16" t="s">
        <v>42</v>
      </c>
      <c r="O102" s="17"/>
      <c r="P102" s="17"/>
      <c r="Q102" s="17"/>
      <c r="R102" s="18"/>
      <c r="S102" s="16"/>
      <c r="T102" s="17"/>
    </row>
    <row r="103" spans="1:20" ht="22.8" x14ac:dyDescent="0.3">
      <c r="A103" s="11" t="s">
        <v>548</v>
      </c>
      <c r="B103" s="9" t="s">
        <v>46</v>
      </c>
      <c r="C103" s="15" t="s">
        <v>525</v>
      </c>
      <c r="D103" s="15" t="s">
        <v>196</v>
      </c>
      <c r="E103" s="15" t="s">
        <v>95</v>
      </c>
      <c r="F103" s="15" t="s">
        <v>549</v>
      </c>
      <c r="G103" s="15" t="s">
        <v>550</v>
      </c>
      <c r="H103" s="9" t="s">
        <v>53</v>
      </c>
      <c r="I103" s="15" t="s">
        <v>95</v>
      </c>
      <c r="J103" s="15" t="s">
        <v>125</v>
      </c>
      <c r="K103" s="9"/>
      <c r="L103" s="9" t="s">
        <v>97</v>
      </c>
      <c r="M103" s="9" t="s">
        <v>103</v>
      </c>
      <c r="N103" s="16" t="s">
        <v>42</v>
      </c>
      <c r="O103" s="17"/>
      <c r="P103" s="17"/>
      <c r="Q103" s="17"/>
      <c r="R103" s="18"/>
      <c r="S103" s="16"/>
      <c r="T103" s="17"/>
    </row>
    <row r="104" spans="1:20" ht="22.8" x14ac:dyDescent="0.3">
      <c r="A104" s="11" t="s">
        <v>551</v>
      </c>
      <c r="B104" s="9" t="s">
        <v>46</v>
      </c>
      <c r="C104" s="15" t="s">
        <v>525</v>
      </c>
      <c r="D104" s="15" t="s">
        <v>196</v>
      </c>
      <c r="E104" s="15" t="s">
        <v>95</v>
      </c>
      <c r="F104" s="15" t="s">
        <v>552</v>
      </c>
      <c r="G104" s="15" t="s">
        <v>553</v>
      </c>
      <c r="H104" s="9" t="s">
        <v>52</v>
      </c>
      <c r="I104" s="15" t="s">
        <v>554</v>
      </c>
      <c r="J104" s="15" t="s">
        <v>554</v>
      </c>
      <c r="K104" s="9" t="s">
        <v>555</v>
      </c>
      <c r="L104" s="9" t="s">
        <v>150</v>
      </c>
      <c r="M104" s="9" t="s">
        <v>103</v>
      </c>
      <c r="N104" s="16" t="s">
        <v>42</v>
      </c>
      <c r="O104" s="17"/>
      <c r="P104" s="17"/>
      <c r="Q104" s="17"/>
      <c r="R104" s="18"/>
      <c r="S104" s="16"/>
      <c r="T104" s="17"/>
    </row>
    <row r="105" spans="1:20" ht="34.200000000000003" x14ac:dyDescent="0.3">
      <c r="A105" s="11" t="s">
        <v>556</v>
      </c>
      <c r="B105" s="9" t="s">
        <v>46</v>
      </c>
      <c r="C105" s="15" t="s">
        <v>525</v>
      </c>
      <c r="D105" s="15" t="s">
        <v>95</v>
      </c>
      <c r="E105" s="15" t="s">
        <v>95</v>
      </c>
      <c r="F105" s="15" t="s">
        <v>557</v>
      </c>
      <c r="G105" s="15" t="s">
        <v>558</v>
      </c>
      <c r="H105" s="9" t="s">
        <v>52</v>
      </c>
      <c r="I105" s="15" t="s">
        <v>107</v>
      </c>
      <c r="J105" s="15" t="s">
        <v>107</v>
      </c>
      <c r="K105" s="9"/>
      <c r="L105" s="9" t="s">
        <v>97</v>
      </c>
      <c r="M105" s="9" t="s">
        <v>103</v>
      </c>
      <c r="N105" s="16" t="s">
        <v>42</v>
      </c>
      <c r="O105" s="17"/>
      <c r="P105" s="17"/>
      <c r="Q105" s="17"/>
      <c r="R105" s="18"/>
      <c r="S105" s="16"/>
      <c r="T105" s="17"/>
    </row>
    <row r="106" spans="1:20" ht="34.200000000000003" x14ac:dyDescent="0.3">
      <c r="A106" s="11" t="s">
        <v>559</v>
      </c>
      <c r="B106" s="9" t="s">
        <v>46</v>
      </c>
      <c r="C106" s="15" t="s">
        <v>560</v>
      </c>
      <c r="D106" s="15" t="s">
        <v>95</v>
      </c>
      <c r="E106" s="15" t="s">
        <v>561</v>
      </c>
      <c r="F106" s="15" t="s">
        <v>562</v>
      </c>
      <c r="G106" s="15" t="s">
        <v>563</v>
      </c>
      <c r="H106" s="9" t="s">
        <v>52</v>
      </c>
      <c r="I106" s="15" t="s">
        <v>157</v>
      </c>
      <c r="J106" s="15" t="s">
        <v>157</v>
      </c>
      <c r="K106" s="9"/>
      <c r="L106" s="9" t="s">
        <v>97</v>
      </c>
      <c r="M106" s="9" t="s">
        <v>103</v>
      </c>
      <c r="N106" s="16" t="s">
        <v>42</v>
      </c>
      <c r="O106" s="17"/>
      <c r="P106" s="17"/>
      <c r="Q106" s="17"/>
      <c r="R106" s="18"/>
      <c r="S106" s="16"/>
      <c r="T106" s="17"/>
    </row>
    <row r="107" spans="1:20" ht="22.8" x14ac:dyDescent="0.3">
      <c r="A107" s="11" t="s">
        <v>564</v>
      </c>
      <c r="B107" s="9" t="s">
        <v>46</v>
      </c>
      <c r="C107" s="15" t="s">
        <v>560</v>
      </c>
      <c r="D107" s="15" t="s">
        <v>95</v>
      </c>
      <c r="E107" s="15" t="s">
        <v>95</v>
      </c>
      <c r="F107" s="15" t="s">
        <v>565</v>
      </c>
      <c r="G107" s="15" t="s">
        <v>566</v>
      </c>
      <c r="H107" s="9" t="s">
        <v>52</v>
      </c>
      <c r="I107" s="15" t="s">
        <v>157</v>
      </c>
      <c r="J107" s="15" t="s">
        <v>157</v>
      </c>
      <c r="K107" s="9"/>
      <c r="L107" s="9" t="s">
        <v>97</v>
      </c>
      <c r="M107" s="9" t="s">
        <v>103</v>
      </c>
      <c r="N107" s="16" t="s">
        <v>42</v>
      </c>
      <c r="O107" s="17"/>
      <c r="P107" s="17"/>
      <c r="Q107" s="17"/>
      <c r="R107" s="18"/>
      <c r="S107" s="16"/>
      <c r="T107" s="17"/>
    </row>
    <row r="108" spans="1:20" ht="22.8" x14ac:dyDescent="0.3">
      <c r="A108" s="11" t="s">
        <v>567</v>
      </c>
      <c r="B108" s="9" t="s">
        <v>46</v>
      </c>
      <c r="C108" s="15" t="s">
        <v>560</v>
      </c>
      <c r="D108" s="15" t="s">
        <v>568</v>
      </c>
      <c r="E108" s="15" t="s">
        <v>95</v>
      </c>
      <c r="F108" s="15" t="s">
        <v>569</v>
      </c>
      <c r="G108" s="15" t="s">
        <v>570</v>
      </c>
      <c r="H108" s="9" t="s">
        <v>52</v>
      </c>
      <c r="I108" s="15" t="s">
        <v>571</v>
      </c>
      <c r="J108" s="15" t="s">
        <v>519</v>
      </c>
      <c r="K108" s="9"/>
      <c r="L108" s="9" t="s">
        <v>97</v>
      </c>
      <c r="M108" s="9" t="s">
        <v>103</v>
      </c>
      <c r="N108" s="16" t="s">
        <v>42</v>
      </c>
      <c r="O108" s="17"/>
      <c r="P108" s="17"/>
      <c r="Q108" s="17"/>
      <c r="R108" s="18"/>
      <c r="S108" s="16"/>
      <c r="T108" s="17"/>
    </row>
    <row r="109" spans="1:20" ht="34.200000000000003" x14ac:dyDescent="0.3">
      <c r="A109" s="11" t="s">
        <v>572</v>
      </c>
      <c r="B109" s="9" t="s">
        <v>46</v>
      </c>
      <c r="C109" s="15" t="s">
        <v>560</v>
      </c>
      <c r="D109" s="15" t="s">
        <v>568</v>
      </c>
      <c r="E109" s="15" t="s">
        <v>567</v>
      </c>
      <c r="F109" s="15" t="s">
        <v>573</v>
      </c>
      <c r="G109" s="15" t="s">
        <v>574</v>
      </c>
      <c r="H109" s="9" t="s">
        <v>52</v>
      </c>
      <c r="I109" s="15" t="s">
        <v>157</v>
      </c>
      <c r="J109" s="15" t="s">
        <v>157</v>
      </c>
      <c r="K109" s="9"/>
      <c r="L109" s="9" t="s">
        <v>97</v>
      </c>
      <c r="M109" s="9" t="s">
        <v>103</v>
      </c>
      <c r="N109" s="16" t="s">
        <v>42</v>
      </c>
      <c r="O109" s="17"/>
      <c r="P109" s="17"/>
      <c r="Q109" s="17"/>
      <c r="R109" s="18"/>
      <c r="S109" s="16"/>
      <c r="T109" s="17"/>
    </row>
    <row r="110" spans="1:20" ht="22.8" x14ac:dyDescent="0.3">
      <c r="A110" s="11" t="s">
        <v>575</v>
      </c>
      <c r="B110" s="9" t="s">
        <v>46</v>
      </c>
      <c r="C110" s="15" t="s">
        <v>560</v>
      </c>
      <c r="D110" s="15" t="s">
        <v>568</v>
      </c>
      <c r="E110" s="15" t="s">
        <v>95</v>
      </c>
      <c r="F110" s="15" t="s">
        <v>576</v>
      </c>
      <c r="G110" s="15" t="s">
        <v>577</v>
      </c>
      <c r="H110" s="9" t="s">
        <v>53</v>
      </c>
      <c r="I110" s="15" t="s">
        <v>95</v>
      </c>
      <c r="J110" s="15" t="s">
        <v>125</v>
      </c>
      <c r="K110" s="9"/>
      <c r="L110" s="9" t="s">
        <v>97</v>
      </c>
      <c r="M110" s="9" t="s">
        <v>103</v>
      </c>
      <c r="N110" s="16" t="s">
        <v>42</v>
      </c>
      <c r="O110" s="17"/>
      <c r="P110" s="17"/>
      <c r="Q110" s="17"/>
      <c r="R110" s="18"/>
      <c r="S110" s="16"/>
      <c r="T110" s="17"/>
    </row>
    <row r="111" spans="1:20" ht="22.8" x14ac:dyDescent="0.3">
      <c r="A111" s="11" t="s">
        <v>578</v>
      </c>
      <c r="B111" s="9" t="s">
        <v>46</v>
      </c>
      <c r="C111" s="15" t="s">
        <v>560</v>
      </c>
      <c r="D111" s="15" t="s">
        <v>568</v>
      </c>
      <c r="E111" s="15" t="s">
        <v>95</v>
      </c>
      <c r="F111" s="15" t="s">
        <v>579</v>
      </c>
      <c r="G111" s="15" t="s">
        <v>580</v>
      </c>
      <c r="H111" s="9" t="s">
        <v>52</v>
      </c>
      <c r="I111" s="15" t="s">
        <v>581</v>
      </c>
      <c r="J111" s="15" t="s">
        <v>582</v>
      </c>
      <c r="K111" s="9"/>
      <c r="L111" s="9" t="s">
        <v>97</v>
      </c>
      <c r="M111" s="9" t="s">
        <v>103</v>
      </c>
      <c r="N111" s="16" t="s">
        <v>42</v>
      </c>
      <c r="O111" s="17"/>
      <c r="P111" s="17"/>
      <c r="Q111" s="17"/>
      <c r="R111" s="18"/>
      <c r="S111" s="16"/>
      <c r="T111" s="17"/>
    </row>
    <row r="112" spans="1:20" ht="34.200000000000003" x14ac:dyDescent="0.3">
      <c r="A112" s="11" t="s">
        <v>583</v>
      </c>
      <c r="B112" s="9" t="s">
        <v>46</v>
      </c>
      <c r="C112" s="15" t="s">
        <v>560</v>
      </c>
      <c r="D112" s="15" t="s">
        <v>568</v>
      </c>
      <c r="E112" s="15" t="s">
        <v>95</v>
      </c>
      <c r="F112" s="15" t="s">
        <v>584</v>
      </c>
      <c r="G112" s="15" t="s">
        <v>585</v>
      </c>
      <c r="H112" s="9" t="s">
        <v>52</v>
      </c>
      <c r="I112" s="15" t="s">
        <v>586</v>
      </c>
      <c r="J112" s="15" t="s">
        <v>125</v>
      </c>
      <c r="K112" s="9" t="s">
        <v>587</v>
      </c>
      <c r="L112" s="9" t="s">
        <v>150</v>
      </c>
      <c r="M112" s="9" t="s">
        <v>103</v>
      </c>
      <c r="N112" s="16" t="s">
        <v>42</v>
      </c>
      <c r="O112" s="17"/>
      <c r="P112" s="17"/>
      <c r="Q112" s="17"/>
      <c r="R112" s="18"/>
      <c r="S112" s="16"/>
      <c r="T112" s="17"/>
    </row>
    <row r="113" spans="1:20" ht="22.8" x14ac:dyDescent="0.3">
      <c r="A113" s="11" t="s">
        <v>588</v>
      </c>
      <c r="B113" s="9" t="s">
        <v>46</v>
      </c>
      <c r="C113" s="15" t="s">
        <v>560</v>
      </c>
      <c r="D113" s="15" t="s">
        <v>568</v>
      </c>
      <c r="E113" s="15" t="s">
        <v>95</v>
      </c>
      <c r="F113" s="15" t="s">
        <v>589</v>
      </c>
      <c r="G113" s="15" t="s">
        <v>590</v>
      </c>
      <c r="H113" s="9" t="s">
        <v>53</v>
      </c>
      <c r="I113" s="15" t="s">
        <v>95</v>
      </c>
      <c r="J113" s="15" t="s">
        <v>125</v>
      </c>
      <c r="K113" s="9"/>
      <c r="L113" s="9" t="s">
        <v>97</v>
      </c>
      <c r="M113" s="9" t="s">
        <v>103</v>
      </c>
      <c r="N113" s="16" t="s">
        <v>42</v>
      </c>
      <c r="O113" s="17"/>
      <c r="P113" s="17"/>
      <c r="Q113" s="17"/>
      <c r="R113" s="18"/>
      <c r="S113" s="16"/>
      <c r="T113" s="17"/>
    </row>
    <row r="114" spans="1:20" ht="22.8" x14ac:dyDescent="0.3">
      <c r="A114" s="11" t="s">
        <v>591</v>
      </c>
      <c r="B114" s="9" t="s">
        <v>46</v>
      </c>
      <c r="C114" s="15" t="s">
        <v>560</v>
      </c>
      <c r="D114" s="15" t="s">
        <v>568</v>
      </c>
      <c r="E114" s="15" t="s">
        <v>95</v>
      </c>
      <c r="F114" s="15" t="s">
        <v>592</v>
      </c>
      <c r="G114" s="15" t="s">
        <v>593</v>
      </c>
      <c r="H114" s="9" t="s">
        <v>53</v>
      </c>
      <c r="I114" s="15" t="s">
        <v>95</v>
      </c>
      <c r="J114" s="15" t="s">
        <v>125</v>
      </c>
      <c r="K114" s="9"/>
      <c r="L114" s="9" t="s">
        <v>97</v>
      </c>
      <c r="M114" s="9" t="s">
        <v>103</v>
      </c>
      <c r="N114" s="16" t="s">
        <v>42</v>
      </c>
      <c r="O114" s="17"/>
      <c r="P114" s="17"/>
      <c r="Q114" s="17"/>
      <c r="R114" s="18"/>
      <c r="S114" s="16"/>
      <c r="T114" s="17"/>
    </row>
    <row r="115" spans="1:20" ht="22.8" x14ac:dyDescent="0.3">
      <c r="A115" s="11" t="s">
        <v>594</v>
      </c>
      <c r="B115" s="9" t="s">
        <v>46</v>
      </c>
      <c r="C115" s="15" t="s">
        <v>595</v>
      </c>
      <c r="D115" s="15" t="s">
        <v>176</v>
      </c>
      <c r="E115" s="15" t="s">
        <v>95</v>
      </c>
      <c r="F115" s="15" t="s">
        <v>276</v>
      </c>
      <c r="G115" s="15" t="s">
        <v>596</v>
      </c>
      <c r="H115" s="9" t="s">
        <v>52</v>
      </c>
      <c r="I115" s="15" t="s">
        <v>186</v>
      </c>
      <c r="J115" s="15" t="s">
        <v>187</v>
      </c>
      <c r="K115" s="9"/>
      <c r="L115" s="9" t="s">
        <v>97</v>
      </c>
      <c r="M115" s="9" t="s">
        <v>103</v>
      </c>
      <c r="N115" s="16" t="s">
        <v>42</v>
      </c>
      <c r="O115" s="17"/>
      <c r="P115" s="17"/>
      <c r="Q115" s="17"/>
      <c r="R115" s="18"/>
      <c r="S115" s="16"/>
      <c r="T115" s="17"/>
    </row>
    <row r="116" spans="1:20" ht="22.8" x14ac:dyDescent="0.3">
      <c r="A116" s="11" t="s">
        <v>597</v>
      </c>
      <c r="B116" s="9" t="s">
        <v>46</v>
      </c>
      <c r="C116" s="15" t="s">
        <v>595</v>
      </c>
      <c r="D116" s="15" t="s">
        <v>183</v>
      </c>
      <c r="E116" s="15" t="s">
        <v>95</v>
      </c>
      <c r="F116" s="15" t="s">
        <v>598</v>
      </c>
      <c r="G116" s="15" t="s">
        <v>599</v>
      </c>
      <c r="H116" s="9" t="s">
        <v>53</v>
      </c>
      <c r="I116" s="15" t="s">
        <v>95</v>
      </c>
      <c r="J116" s="15" t="s">
        <v>125</v>
      </c>
      <c r="K116" s="9"/>
      <c r="L116" s="9" t="s">
        <v>97</v>
      </c>
      <c r="M116" s="9" t="s">
        <v>103</v>
      </c>
      <c r="N116" s="16" t="s">
        <v>42</v>
      </c>
      <c r="O116" s="17"/>
      <c r="P116" s="17"/>
      <c r="Q116" s="17"/>
      <c r="R116" s="18"/>
      <c r="S116" s="16"/>
      <c r="T116" s="17"/>
    </row>
    <row r="117" spans="1:20" ht="22.8" x14ac:dyDescent="0.3">
      <c r="A117" s="11" t="s">
        <v>600</v>
      </c>
      <c r="B117" s="9" t="s">
        <v>46</v>
      </c>
      <c r="C117" s="15" t="s">
        <v>595</v>
      </c>
      <c r="D117" s="15" t="s">
        <v>183</v>
      </c>
      <c r="E117" s="15" t="s">
        <v>95</v>
      </c>
      <c r="F117" s="15" t="s">
        <v>601</v>
      </c>
      <c r="G117" s="15" t="s">
        <v>602</v>
      </c>
      <c r="H117" s="9" t="s">
        <v>53</v>
      </c>
      <c r="I117" s="15" t="s">
        <v>282</v>
      </c>
      <c r="J117" s="15" t="s">
        <v>283</v>
      </c>
      <c r="K117" s="9"/>
      <c r="L117" s="9" t="s">
        <v>97</v>
      </c>
      <c r="M117" s="9" t="s">
        <v>103</v>
      </c>
      <c r="N117" s="16" t="s">
        <v>42</v>
      </c>
      <c r="O117" s="17"/>
      <c r="P117" s="17"/>
      <c r="Q117" s="17"/>
      <c r="R117" s="18"/>
      <c r="S117" s="16"/>
      <c r="T117" s="17"/>
    </row>
    <row r="118" spans="1:20" ht="22.8" x14ac:dyDescent="0.3">
      <c r="A118" s="11" t="s">
        <v>603</v>
      </c>
      <c r="B118" s="9" t="s">
        <v>46</v>
      </c>
      <c r="C118" s="15" t="s">
        <v>595</v>
      </c>
      <c r="D118" s="15" t="s">
        <v>183</v>
      </c>
      <c r="E118" s="15" t="s">
        <v>604</v>
      </c>
      <c r="F118" s="15" t="s">
        <v>605</v>
      </c>
      <c r="G118" s="15" t="s">
        <v>606</v>
      </c>
      <c r="H118" s="9" t="s">
        <v>52</v>
      </c>
      <c r="I118" s="15" t="s">
        <v>607</v>
      </c>
      <c r="J118" s="15" t="s">
        <v>181</v>
      </c>
      <c r="K118" s="9"/>
      <c r="L118" s="9" t="s">
        <v>97</v>
      </c>
      <c r="M118" s="9" t="s">
        <v>103</v>
      </c>
      <c r="N118" s="16" t="s">
        <v>42</v>
      </c>
      <c r="O118" s="17"/>
      <c r="P118" s="17"/>
      <c r="Q118" s="17"/>
      <c r="R118" s="18"/>
      <c r="S118" s="16"/>
      <c r="T118" s="17"/>
    </row>
    <row r="119" spans="1:20" ht="22.8" x14ac:dyDescent="0.3">
      <c r="A119" s="11" t="s">
        <v>608</v>
      </c>
      <c r="B119" s="9" t="s">
        <v>46</v>
      </c>
      <c r="C119" s="15" t="s">
        <v>595</v>
      </c>
      <c r="D119" s="15" t="s">
        <v>183</v>
      </c>
      <c r="E119" s="15" t="s">
        <v>609</v>
      </c>
      <c r="F119" s="15" t="s">
        <v>610</v>
      </c>
      <c r="G119" s="15" t="s">
        <v>611</v>
      </c>
      <c r="H119" s="9" t="s">
        <v>53</v>
      </c>
      <c r="I119" s="15" t="s">
        <v>95</v>
      </c>
      <c r="J119" s="15" t="s">
        <v>125</v>
      </c>
      <c r="K119" s="9"/>
      <c r="L119" s="9" t="s">
        <v>97</v>
      </c>
      <c r="M119" s="9" t="s">
        <v>103</v>
      </c>
      <c r="N119" s="16" t="s">
        <v>42</v>
      </c>
      <c r="O119" s="17"/>
      <c r="P119" s="17"/>
      <c r="Q119" s="17"/>
      <c r="R119" s="18"/>
      <c r="S119" s="16"/>
      <c r="T119" s="17"/>
    </row>
    <row r="120" spans="1:20" ht="22.8" x14ac:dyDescent="0.3">
      <c r="A120" s="11" t="s">
        <v>612</v>
      </c>
      <c r="B120" s="9" t="s">
        <v>46</v>
      </c>
      <c r="C120" s="15" t="s">
        <v>595</v>
      </c>
      <c r="D120" s="15" t="s">
        <v>183</v>
      </c>
      <c r="E120" s="15" t="s">
        <v>613</v>
      </c>
      <c r="F120" s="15" t="s">
        <v>614</v>
      </c>
      <c r="G120" s="15" t="s">
        <v>615</v>
      </c>
      <c r="H120" s="9" t="s">
        <v>53</v>
      </c>
      <c r="I120" s="15" t="s">
        <v>133</v>
      </c>
      <c r="J120" s="15" t="s">
        <v>133</v>
      </c>
      <c r="K120" s="9"/>
      <c r="L120" s="9" t="s">
        <v>97</v>
      </c>
      <c r="M120" s="9" t="s">
        <v>103</v>
      </c>
      <c r="N120" s="16" t="s">
        <v>42</v>
      </c>
      <c r="O120" s="17"/>
      <c r="P120" s="17"/>
      <c r="Q120" s="17"/>
      <c r="R120" s="18"/>
      <c r="S120" s="16"/>
      <c r="T120" s="17"/>
    </row>
    <row r="121" spans="1:20" ht="22.8" x14ac:dyDescent="0.3">
      <c r="A121" s="11" t="s">
        <v>616</v>
      </c>
      <c r="B121" s="9" t="s">
        <v>46</v>
      </c>
      <c r="C121" s="15" t="s">
        <v>595</v>
      </c>
      <c r="D121" s="15" t="s">
        <v>183</v>
      </c>
      <c r="E121" s="15" t="s">
        <v>95</v>
      </c>
      <c r="F121" s="15" t="s">
        <v>617</v>
      </c>
      <c r="G121" s="15" t="s">
        <v>618</v>
      </c>
      <c r="H121" s="9" t="s">
        <v>53</v>
      </c>
      <c r="I121" s="15" t="s">
        <v>133</v>
      </c>
      <c r="J121" s="15" t="s">
        <v>133</v>
      </c>
      <c r="K121" s="9"/>
      <c r="L121" s="9" t="s">
        <v>97</v>
      </c>
      <c r="M121" s="9" t="s">
        <v>103</v>
      </c>
      <c r="N121" s="16" t="s">
        <v>42</v>
      </c>
      <c r="O121" s="17"/>
      <c r="P121" s="17"/>
      <c r="Q121" s="17"/>
      <c r="R121" s="18"/>
      <c r="S121" s="16"/>
      <c r="T121" s="17"/>
    </row>
    <row r="122" spans="1:20" ht="22.8" x14ac:dyDescent="0.3">
      <c r="A122" s="11" t="s">
        <v>619</v>
      </c>
      <c r="B122" s="9" t="s">
        <v>46</v>
      </c>
      <c r="C122" s="15" t="s">
        <v>620</v>
      </c>
      <c r="D122" s="15" t="s">
        <v>196</v>
      </c>
      <c r="E122" s="15" t="s">
        <v>621</v>
      </c>
      <c r="F122" s="15" t="s">
        <v>622</v>
      </c>
      <c r="G122" s="15" t="s">
        <v>623</v>
      </c>
      <c r="H122" s="9" t="s">
        <v>52</v>
      </c>
      <c r="I122" s="15" t="s">
        <v>624</v>
      </c>
      <c r="J122" s="15" t="s">
        <v>625</v>
      </c>
      <c r="K122" s="9"/>
      <c r="L122" s="9" t="s">
        <v>97</v>
      </c>
      <c r="M122" s="9" t="s">
        <v>103</v>
      </c>
      <c r="N122" s="16" t="s">
        <v>42</v>
      </c>
      <c r="O122" s="17"/>
      <c r="P122" s="17"/>
      <c r="Q122" s="17"/>
      <c r="R122" s="18"/>
      <c r="S122" s="16"/>
      <c r="T122" s="17"/>
    </row>
    <row r="123" spans="1:20" ht="22.8" x14ac:dyDescent="0.3">
      <c r="A123" s="11" t="s">
        <v>626</v>
      </c>
      <c r="B123" s="9" t="s">
        <v>46</v>
      </c>
      <c r="C123" s="15" t="s">
        <v>620</v>
      </c>
      <c r="D123" s="15" t="s">
        <v>196</v>
      </c>
      <c r="E123" s="15" t="s">
        <v>95</v>
      </c>
      <c r="F123" s="15" t="s">
        <v>627</v>
      </c>
      <c r="G123" s="15" t="s">
        <v>628</v>
      </c>
      <c r="H123" s="9" t="s">
        <v>52</v>
      </c>
      <c r="I123" s="15" t="s">
        <v>629</v>
      </c>
      <c r="J123" s="15" t="s">
        <v>144</v>
      </c>
      <c r="K123" s="9"/>
      <c r="L123" s="9" t="s">
        <v>97</v>
      </c>
      <c r="M123" s="9" t="s">
        <v>103</v>
      </c>
      <c r="N123" s="16" t="s">
        <v>42</v>
      </c>
      <c r="O123" s="17"/>
      <c r="P123" s="17"/>
      <c r="Q123" s="17"/>
      <c r="R123" s="18"/>
      <c r="S123" s="16"/>
      <c r="T123" s="17"/>
    </row>
    <row r="124" spans="1:20" ht="22.8" x14ac:dyDescent="0.3">
      <c r="A124" s="11" t="s">
        <v>630</v>
      </c>
      <c r="B124" s="9" t="s">
        <v>46</v>
      </c>
      <c r="C124" s="15" t="s">
        <v>620</v>
      </c>
      <c r="D124" s="15" t="s">
        <v>631</v>
      </c>
      <c r="E124" s="15" t="s">
        <v>632</v>
      </c>
      <c r="F124" s="15" t="s">
        <v>633</v>
      </c>
      <c r="G124" s="15" t="s">
        <v>634</v>
      </c>
      <c r="H124" s="9" t="s">
        <v>52</v>
      </c>
      <c r="I124" s="15" t="s">
        <v>635</v>
      </c>
      <c r="J124" s="15" t="s">
        <v>635</v>
      </c>
      <c r="K124" s="9"/>
      <c r="L124" s="9" t="s">
        <v>97</v>
      </c>
      <c r="M124" s="9" t="s">
        <v>103</v>
      </c>
      <c r="N124" s="16" t="s">
        <v>42</v>
      </c>
      <c r="O124" s="17"/>
      <c r="P124" s="17"/>
      <c r="Q124" s="17"/>
      <c r="R124" s="18"/>
      <c r="S124" s="16"/>
      <c r="T124" s="17"/>
    </row>
    <row r="125" spans="1:20" ht="22.8" x14ac:dyDescent="0.3">
      <c r="A125" s="11" t="s">
        <v>636</v>
      </c>
      <c r="B125" s="9" t="s">
        <v>46</v>
      </c>
      <c r="C125" s="15" t="s">
        <v>620</v>
      </c>
      <c r="D125" s="15" t="s">
        <v>196</v>
      </c>
      <c r="E125" s="15" t="s">
        <v>637</v>
      </c>
      <c r="F125" s="15" t="s">
        <v>638</v>
      </c>
      <c r="G125" s="15" t="s">
        <v>639</v>
      </c>
      <c r="H125" s="9" t="s">
        <v>52</v>
      </c>
      <c r="I125" s="15" t="s">
        <v>635</v>
      </c>
      <c r="J125" s="15" t="s">
        <v>635</v>
      </c>
      <c r="K125" s="9"/>
      <c r="L125" s="9" t="s">
        <v>97</v>
      </c>
      <c r="M125" s="9" t="s">
        <v>103</v>
      </c>
      <c r="N125" s="16" t="s">
        <v>42</v>
      </c>
      <c r="O125" s="17"/>
      <c r="P125" s="17"/>
      <c r="Q125" s="17"/>
      <c r="R125" s="18"/>
      <c r="S125" s="16"/>
      <c r="T125" s="17"/>
    </row>
    <row r="126" spans="1:20" ht="22.8" x14ac:dyDescent="0.3">
      <c r="A126" s="11" t="s">
        <v>640</v>
      </c>
      <c r="B126" s="9" t="s">
        <v>46</v>
      </c>
      <c r="C126" s="15" t="s">
        <v>620</v>
      </c>
      <c r="D126" s="15" t="s">
        <v>196</v>
      </c>
      <c r="E126" s="15" t="s">
        <v>95</v>
      </c>
      <c r="F126" s="15" t="s">
        <v>641</v>
      </c>
      <c r="G126" s="15" t="s">
        <v>642</v>
      </c>
      <c r="H126" s="9" t="s">
        <v>53</v>
      </c>
      <c r="I126" s="15" t="s">
        <v>95</v>
      </c>
      <c r="J126" s="15" t="s">
        <v>125</v>
      </c>
      <c r="K126" s="9"/>
      <c r="L126" s="9" t="s">
        <v>97</v>
      </c>
      <c r="M126" s="9" t="s">
        <v>103</v>
      </c>
      <c r="N126" s="16" t="s">
        <v>42</v>
      </c>
      <c r="O126" s="17"/>
      <c r="P126" s="17"/>
      <c r="Q126" s="17"/>
      <c r="R126" s="18"/>
      <c r="S126" s="16"/>
      <c r="T126" s="17"/>
    </row>
    <row r="127" spans="1:20" ht="22.8" x14ac:dyDescent="0.3">
      <c r="A127" s="11" t="s">
        <v>643</v>
      </c>
      <c r="B127" s="9" t="s">
        <v>46</v>
      </c>
      <c r="C127" s="15" t="s">
        <v>620</v>
      </c>
      <c r="D127" s="15" t="s">
        <v>196</v>
      </c>
      <c r="E127" s="15" t="s">
        <v>95</v>
      </c>
      <c r="F127" s="15" t="s">
        <v>644</v>
      </c>
      <c r="G127" s="15" t="s">
        <v>645</v>
      </c>
      <c r="H127" s="9" t="s">
        <v>53</v>
      </c>
      <c r="I127" s="15" t="s">
        <v>95</v>
      </c>
      <c r="J127" s="15" t="s">
        <v>125</v>
      </c>
      <c r="K127" s="9"/>
      <c r="L127" s="9" t="s">
        <v>97</v>
      </c>
      <c r="M127" s="9" t="s">
        <v>103</v>
      </c>
      <c r="N127" s="16" t="s">
        <v>42</v>
      </c>
      <c r="O127" s="17"/>
      <c r="P127" s="17"/>
      <c r="Q127" s="17"/>
      <c r="R127" s="18"/>
      <c r="S127" s="16"/>
      <c r="T127" s="17"/>
    </row>
    <row r="128" spans="1:20" ht="22.8" x14ac:dyDescent="0.3">
      <c r="A128" s="11" t="s">
        <v>646</v>
      </c>
      <c r="B128" s="9" t="s">
        <v>46</v>
      </c>
      <c r="C128" s="15" t="s">
        <v>620</v>
      </c>
      <c r="D128" s="15" t="s">
        <v>196</v>
      </c>
      <c r="E128" s="15" t="s">
        <v>647</v>
      </c>
      <c r="F128" s="15" t="s">
        <v>648</v>
      </c>
      <c r="G128" s="15" t="s">
        <v>649</v>
      </c>
      <c r="H128" s="9" t="s">
        <v>53</v>
      </c>
      <c r="I128" s="15" t="s">
        <v>317</v>
      </c>
      <c r="J128" s="15" t="s">
        <v>317</v>
      </c>
      <c r="K128" s="9"/>
      <c r="L128" s="9" t="s">
        <v>97</v>
      </c>
      <c r="M128" s="9" t="s">
        <v>103</v>
      </c>
      <c r="N128" s="16" t="s">
        <v>42</v>
      </c>
      <c r="O128" s="17"/>
      <c r="P128" s="17"/>
      <c r="Q128" s="17"/>
      <c r="R128" s="18"/>
      <c r="S128" s="16"/>
      <c r="T128" s="17"/>
    </row>
    <row r="129" spans="1:20" ht="45.6" x14ac:dyDescent="0.3">
      <c r="A129" s="11" t="s">
        <v>650</v>
      </c>
      <c r="B129" s="9" t="s">
        <v>46</v>
      </c>
      <c r="C129" s="15" t="s">
        <v>620</v>
      </c>
      <c r="D129" s="15" t="s">
        <v>196</v>
      </c>
      <c r="E129" s="15" t="s">
        <v>95</v>
      </c>
      <c r="F129" s="15" t="s">
        <v>651</v>
      </c>
      <c r="G129" s="15" t="s">
        <v>652</v>
      </c>
      <c r="H129" s="9" t="s">
        <v>53</v>
      </c>
      <c r="I129" s="15" t="s">
        <v>653</v>
      </c>
      <c r="J129" s="15" t="s">
        <v>654</v>
      </c>
      <c r="K129" s="9" t="s">
        <v>655</v>
      </c>
      <c r="L129" s="9" t="s">
        <v>150</v>
      </c>
      <c r="M129" s="9" t="s">
        <v>103</v>
      </c>
      <c r="N129" s="16" t="s">
        <v>42</v>
      </c>
      <c r="O129" s="17"/>
      <c r="P129" s="17"/>
      <c r="Q129" s="17"/>
      <c r="R129" s="18"/>
      <c r="S129" s="16"/>
      <c r="T129" s="17"/>
    </row>
    <row r="130" spans="1:20" ht="57" x14ac:dyDescent="0.3">
      <c r="A130" s="11" t="s">
        <v>656</v>
      </c>
      <c r="B130" s="9" t="s">
        <v>46</v>
      </c>
      <c r="C130" s="15" t="s">
        <v>620</v>
      </c>
      <c r="D130" s="15" t="s">
        <v>657</v>
      </c>
      <c r="E130" s="15" t="s">
        <v>658</v>
      </c>
      <c r="F130" s="15" t="s">
        <v>659</v>
      </c>
      <c r="G130" s="15" t="s">
        <v>660</v>
      </c>
      <c r="H130" s="9" t="s">
        <v>52</v>
      </c>
      <c r="I130" s="15" t="s">
        <v>661</v>
      </c>
      <c r="J130" s="15" t="s">
        <v>661</v>
      </c>
      <c r="K130" s="9" t="s">
        <v>662</v>
      </c>
      <c r="L130" s="9" t="s">
        <v>150</v>
      </c>
      <c r="M130" s="9" t="s">
        <v>103</v>
      </c>
      <c r="N130" s="16" t="s">
        <v>42</v>
      </c>
      <c r="O130" s="17"/>
      <c r="P130" s="17"/>
      <c r="Q130" s="17"/>
      <c r="R130" s="18"/>
      <c r="S130" s="16"/>
      <c r="T130" s="17"/>
    </row>
    <row r="131" spans="1:20" ht="34.200000000000003" x14ac:dyDescent="0.3">
      <c r="A131" s="11" t="s">
        <v>663</v>
      </c>
      <c r="B131" s="9" t="s">
        <v>47</v>
      </c>
      <c r="C131" s="15" t="s">
        <v>47</v>
      </c>
      <c r="D131" s="15" t="s">
        <v>176</v>
      </c>
      <c r="E131" s="15" t="s">
        <v>664</v>
      </c>
      <c r="F131" s="15" t="s">
        <v>665</v>
      </c>
      <c r="G131" s="15" t="s">
        <v>666</v>
      </c>
      <c r="H131" s="9" t="s">
        <v>53</v>
      </c>
      <c r="I131" s="15" t="s">
        <v>667</v>
      </c>
      <c r="J131" s="15" t="s">
        <v>668</v>
      </c>
      <c r="K131" s="9"/>
      <c r="L131" s="9" t="s">
        <v>97</v>
      </c>
      <c r="M131" s="9" t="s">
        <v>103</v>
      </c>
      <c r="N131" s="16" t="s">
        <v>42</v>
      </c>
      <c r="O131" s="17"/>
      <c r="P131" s="17"/>
      <c r="Q131" s="17"/>
      <c r="R131" s="18"/>
      <c r="S131" s="16"/>
      <c r="T131" s="17"/>
    </row>
    <row r="132" spans="1:20" ht="22.8" x14ac:dyDescent="0.3">
      <c r="A132" s="11" t="s">
        <v>669</v>
      </c>
      <c r="B132" s="9" t="s">
        <v>47</v>
      </c>
      <c r="C132" s="15" t="s">
        <v>47</v>
      </c>
      <c r="D132" s="15" t="s">
        <v>183</v>
      </c>
      <c r="E132" s="15" t="s">
        <v>670</v>
      </c>
      <c r="F132" s="15" t="s">
        <v>671</v>
      </c>
      <c r="G132" s="15" t="s">
        <v>672</v>
      </c>
      <c r="H132" s="9" t="s">
        <v>53</v>
      </c>
      <c r="I132" s="15" t="s">
        <v>673</v>
      </c>
      <c r="J132" s="15" t="s">
        <v>674</v>
      </c>
      <c r="K132" s="9"/>
      <c r="L132" s="9" t="s">
        <v>97</v>
      </c>
      <c r="M132" s="9" t="s">
        <v>103</v>
      </c>
      <c r="N132" s="16" t="s">
        <v>42</v>
      </c>
      <c r="O132" s="17"/>
      <c r="P132" s="17"/>
      <c r="Q132" s="17"/>
      <c r="R132" s="18"/>
      <c r="S132" s="16"/>
      <c r="T132" s="17"/>
    </row>
    <row r="133" spans="1:20" ht="22.8" x14ac:dyDescent="0.3">
      <c r="A133" s="11" t="s">
        <v>675</v>
      </c>
      <c r="B133" s="9" t="s">
        <v>47</v>
      </c>
      <c r="C133" s="15" t="s">
        <v>47</v>
      </c>
      <c r="D133" s="15" t="s">
        <v>176</v>
      </c>
      <c r="E133" s="15" t="s">
        <v>676</v>
      </c>
      <c r="F133" s="15" t="s">
        <v>677</v>
      </c>
      <c r="G133" s="15" t="s">
        <v>678</v>
      </c>
      <c r="H133" s="9" t="s">
        <v>53</v>
      </c>
      <c r="I133" s="15" t="s">
        <v>679</v>
      </c>
      <c r="J133" s="15" t="s">
        <v>680</v>
      </c>
      <c r="K133" s="9"/>
      <c r="L133" s="9" t="s">
        <v>97</v>
      </c>
      <c r="M133" s="9" t="s">
        <v>103</v>
      </c>
      <c r="N133" s="16" t="s">
        <v>42</v>
      </c>
      <c r="O133" s="17"/>
      <c r="P133" s="17"/>
      <c r="Q133" s="17"/>
      <c r="R133" s="18"/>
      <c r="S133" s="16"/>
      <c r="T133" s="17"/>
    </row>
    <row r="134" spans="1:20" ht="22.8" x14ac:dyDescent="0.3">
      <c r="A134" s="11" t="s">
        <v>681</v>
      </c>
      <c r="B134" s="9" t="s">
        <v>48</v>
      </c>
      <c r="C134" s="15" t="s">
        <v>682</v>
      </c>
      <c r="D134" s="15" t="s">
        <v>183</v>
      </c>
      <c r="E134" s="15" t="s">
        <v>683</v>
      </c>
      <c r="F134" s="15" t="s">
        <v>684</v>
      </c>
      <c r="G134" s="15" t="s">
        <v>685</v>
      </c>
      <c r="H134" s="9" t="s">
        <v>52</v>
      </c>
      <c r="I134" s="15" t="s">
        <v>107</v>
      </c>
      <c r="J134" s="15" t="s">
        <v>107</v>
      </c>
      <c r="K134" s="9"/>
      <c r="L134" s="9" t="s">
        <v>97</v>
      </c>
      <c r="M134" s="9" t="s">
        <v>98</v>
      </c>
      <c r="N134" s="16" t="s">
        <v>42</v>
      </c>
      <c r="O134" s="17"/>
      <c r="P134" s="17"/>
      <c r="Q134" s="17"/>
      <c r="R134" s="18"/>
      <c r="S134" s="16"/>
      <c r="T134" s="17"/>
    </row>
    <row r="135" spans="1:20" ht="22.8" x14ac:dyDescent="0.3">
      <c r="A135" s="11" t="s">
        <v>686</v>
      </c>
      <c r="B135" s="9" t="s">
        <v>48</v>
      </c>
      <c r="C135" s="15" t="s">
        <v>682</v>
      </c>
      <c r="D135" s="15" t="s">
        <v>196</v>
      </c>
      <c r="E135" s="15" t="s">
        <v>683</v>
      </c>
      <c r="F135" s="15" t="s">
        <v>687</v>
      </c>
      <c r="G135" s="15" t="s">
        <v>688</v>
      </c>
      <c r="H135" s="9" t="s">
        <v>52</v>
      </c>
      <c r="I135" s="15" t="s">
        <v>107</v>
      </c>
      <c r="J135" s="15" t="s">
        <v>107</v>
      </c>
      <c r="K135" s="9"/>
      <c r="L135" s="9" t="s">
        <v>97</v>
      </c>
      <c r="M135" s="9" t="s">
        <v>98</v>
      </c>
      <c r="N135" s="16" t="s">
        <v>42</v>
      </c>
      <c r="O135" s="17"/>
      <c r="P135" s="17"/>
      <c r="Q135" s="17"/>
      <c r="R135" s="18"/>
      <c r="S135" s="16"/>
      <c r="T135" s="17"/>
    </row>
    <row r="136" spans="1:20" ht="22.8" x14ac:dyDescent="0.3">
      <c r="A136" s="11" t="s">
        <v>689</v>
      </c>
      <c r="B136" s="9" t="s">
        <v>48</v>
      </c>
      <c r="C136" s="15" t="s">
        <v>682</v>
      </c>
      <c r="D136" s="15" t="s">
        <v>201</v>
      </c>
      <c r="E136" s="15" t="s">
        <v>683</v>
      </c>
      <c r="F136" s="15" t="s">
        <v>690</v>
      </c>
      <c r="G136" s="15" t="s">
        <v>691</v>
      </c>
      <c r="H136" s="9" t="s">
        <v>52</v>
      </c>
      <c r="I136" s="15" t="s">
        <v>107</v>
      </c>
      <c r="J136" s="15" t="s">
        <v>107</v>
      </c>
      <c r="K136" s="9"/>
      <c r="L136" s="9" t="s">
        <v>97</v>
      </c>
      <c r="M136" s="9" t="s">
        <v>98</v>
      </c>
      <c r="N136" s="16" t="s">
        <v>42</v>
      </c>
      <c r="O136" s="17"/>
      <c r="P136" s="17"/>
      <c r="Q136" s="17"/>
      <c r="R136" s="18"/>
      <c r="S136" s="16"/>
      <c r="T136" s="17"/>
    </row>
    <row r="137" spans="1:20" ht="22.8" x14ac:dyDescent="0.3">
      <c r="A137" s="11" t="s">
        <v>692</v>
      </c>
      <c r="B137" s="9" t="s">
        <v>48</v>
      </c>
      <c r="C137" s="15" t="s">
        <v>682</v>
      </c>
      <c r="D137" s="15" t="s">
        <v>196</v>
      </c>
      <c r="E137" s="15" t="s">
        <v>683</v>
      </c>
      <c r="F137" s="15" t="s">
        <v>693</v>
      </c>
      <c r="G137" s="15" t="s">
        <v>694</v>
      </c>
      <c r="H137" s="9" t="s">
        <v>52</v>
      </c>
      <c r="I137" s="15" t="s">
        <v>107</v>
      </c>
      <c r="J137" s="15" t="s">
        <v>107</v>
      </c>
      <c r="K137" s="9"/>
      <c r="L137" s="9" t="s">
        <v>97</v>
      </c>
      <c r="M137" s="9" t="s">
        <v>103</v>
      </c>
      <c r="N137" s="16" t="s">
        <v>42</v>
      </c>
      <c r="O137" s="17"/>
      <c r="P137" s="17"/>
      <c r="Q137" s="17"/>
      <c r="R137" s="18"/>
      <c r="S137" s="16"/>
      <c r="T137" s="17"/>
    </row>
    <row r="138" spans="1:20" ht="22.8" x14ac:dyDescent="0.3">
      <c r="A138" s="11" t="s">
        <v>695</v>
      </c>
      <c r="B138" s="9" t="s">
        <v>48</v>
      </c>
      <c r="C138" s="15" t="s">
        <v>682</v>
      </c>
      <c r="D138" s="15" t="s">
        <v>696</v>
      </c>
      <c r="E138" s="15" t="s">
        <v>683</v>
      </c>
      <c r="F138" s="15" t="s">
        <v>697</v>
      </c>
      <c r="G138" s="15" t="s">
        <v>698</v>
      </c>
      <c r="H138" s="9" t="s">
        <v>52</v>
      </c>
      <c r="I138" s="15" t="s">
        <v>107</v>
      </c>
      <c r="J138" s="15" t="s">
        <v>107</v>
      </c>
      <c r="K138" s="9"/>
      <c r="L138" s="9" t="s">
        <v>97</v>
      </c>
      <c r="M138" s="9" t="s">
        <v>103</v>
      </c>
      <c r="N138" s="16" t="s">
        <v>42</v>
      </c>
      <c r="O138" s="17"/>
      <c r="P138" s="17"/>
      <c r="Q138" s="17"/>
      <c r="R138" s="18"/>
      <c r="S138" s="16"/>
      <c r="T138" s="17"/>
    </row>
    <row r="139" spans="1:20" ht="22.8" x14ac:dyDescent="0.3">
      <c r="A139" s="11" t="s">
        <v>699</v>
      </c>
      <c r="B139" s="9" t="s">
        <v>48</v>
      </c>
      <c r="C139" s="15" t="s">
        <v>682</v>
      </c>
      <c r="D139" s="15" t="s">
        <v>700</v>
      </c>
      <c r="E139" s="15" t="s">
        <v>683</v>
      </c>
      <c r="F139" s="15" t="s">
        <v>466</v>
      </c>
      <c r="G139" s="15" t="s">
        <v>701</v>
      </c>
      <c r="H139" s="9" t="s">
        <v>52</v>
      </c>
      <c r="I139" s="15" t="s">
        <v>107</v>
      </c>
      <c r="J139" s="15" t="s">
        <v>107</v>
      </c>
      <c r="K139" s="9"/>
      <c r="L139" s="9" t="s">
        <v>97</v>
      </c>
      <c r="M139" s="9" t="s">
        <v>103</v>
      </c>
      <c r="N139" s="16" t="s">
        <v>42</v>
      </c>
      <c r="O139" s="17"/>
      <c r="P139" s="17"/>
      <c r="Q139" s="17"/>
      <c r="R139" s="18"/>
      <c r="S139" s="16"/>
      <c r="T139" s="17"/>
    </row>
    <row r="140" spans="1:20" ht="22.8" x14ac:dyDescent="0.3">
      <c r="A140" s="11" t="s">
        <v>702</v>
      </c>
      <c r="B140" s="9" t="s">
        <v>49</v>
      </c>
      <c r="C140" s="15" t="s">
        <v>703</v>
      </c>
      <c r="D140" s="15" t="s">
        <v>704</v>
      </c>
      <c r="E140" s="15" t="s">
        <v>705</v>
      </c>
      <c r="F140" s="15" t="s">
        <v>706</v>
      </c>
      <c r="G140" s="15" t="s">
        <v>707</v>
      </c>
      <c r="H140" s="9" t="s">
        <v>52</v>
      </c>
      <c r="I140" s="15" t="s">
        <v>95</v>
      </c>
      <c r="J140" s="15" t="s">
        <v>187</v>
      </c>
      <c r="K140" s="9"/>
      <c r="L140" s="9" t="s">
        <v>97</v>
      </c>
      <c r="M140" s="9" t="s">
        <v>98</v>
      </c>
      <c r="N140" s="16" t="s">
        <v>42</v>
      </c>
      <c r="O140" s="17"/>
      <c r="P140" s="17"/>
      <c r="Q140" s="17"/>
      <c r="R140" s="18"/>
      <c r="S140" s="16"/>
      <c r="T140" s="17"/>
    </row>
    <row r="141" spans="1:20" ht="45.6" x14ac:dyDescent="0.3">
      <c r="A141" s="11" t="s">
        <v>708</v>
      </c>
      <c r="B141" s="9" t="s">
        <v>49</v>
      </c>
      <c r="C141" s="15" t="s">
        <v>709</v>
      </c>
      <c r="D141" s="15" t="s">
        <v>704</v>
      </c>
      <c r="E141" s="15" t="s">
        <v>705</v>
      </c>
      <c r="F141" s="15" t="s">
        <v>710</v>
      </c>
      <c r="G141" s="15" t="s">
        <v>711</v>
      </c>
      <c r="H141" s="9" t="s">
        <v>52</v>
      </c>
      <c r="I141" s="15" t="s">
        <v>95</v>
      </c>
      <c r="J141" s="15" t="s">
        <v>187</v>
      </c>
      <c r="K141" s="9"/>
      <c r="L141" s="9" t="s">
        <v>97</v>
      </c>
      <c r="M141" s="9" t="s">
        <v>98</v>
      </c>
      <c r="N141" s="16" t="s">
        <v>42</v>
      </c>
      <c r="O141" s="17"/>
      <c r="P141" s="17"/>
      <c r="Q141" s="17"/>
      <c r="R141" s="18"/>
      <c r="S141" s="16"/>
      <c r="T141" s="17"/>
    </row>
    <row r="142" spans="1:20" ht="34.200000000000003" x14ac:dyDescent="0.3">
      <c r="A142" s="11" t="s">
        <v>712</v>
      </c>
      <c r="B142" s="9" t="s">
        <v>49</v>
      </c>
      <c r="C142" s="15" t="s">
        <v>713</v>
      </c>
      <c r="D142" s="15" t="s">
        <v>704</v>
      </c>
      <c r="E142" s="15" t="s">
        <v>705</v>
      </c>
      <c r="F142" s="15" t="s">
        <v>714</v>
      </c>
      <c r="G142" s="15" t="s">
        <v>715</v>
      </c>
      <c r="H142" s="9" t="s">
        <v>52</v>
      </c>
      <c r="I142" s="15" t="s">
        <v>95</v>
      </c>
      <c r="J142" s="15" t="s">
        <v>716</v>
      </c>
      <c r="K142" s="9"/>
      <c r="L142" s="9" t="s">
        <v>97</v>
      </c>
      <c r="M142" s="9" t="s">
        <v>103</v>
      </c>
      <c r="N142" s="16" t="s">
        <v>42</v>
      </c>
      <c r="O142" s="17"/>
      <c r="P142" s="17"/>
      <c r="Q142" s="17"/>
      <c r="R142" s="18"/>
      <c r="S142" s="16"/>
      <c r="T142" s="17"/>
    </row>
    <row r="143" spans="1:20" ht="34.200000000000003" x14ac:dyDescent="0.3">
      <c r="A143" s="11" t="s">
        <v>717</v>
      </c>
      <c r="B143" s="9" t="s">
        <v>49</v>
      </c>
      <c r="C143" s="15" t="s">
        <v>718</v>
      </c>
      <c r="D143" s="15" t="s">
        <v>704</v>
      </c>
      <c r="E143" s="15" t="s">
        <v>705</v>
      </c>
      <c r="F143" s="15" t="s">
        <v>719</v>
      </c>
      <c r="G143" s="15" t="s">
        <v>720</v>
      </c>
      <c r="H143" s="9" t="s">
        <v>52</v>
      </c>
      <c r="I143" s="15" t="s">
        <v>95</v>
      </c>
      <c r="J143" s="15" t="s">
        <v>721</v>
      </c>
      <c r="K143" s="9"/>
      <c r="L143" s="9" t="s">
        <v>97</v>
      </c>
      <c r="M143" s="9" t="s">
        <v>103</v>
      </c>
      <c r="N143" s="16" t="s">
        <v>42</v>
      </c>
      <c r="O143" s="17"/>
      <c r="P143" s="17"/>
      <c r="Q143" s="17"/>
      <c r="R143" s="18"/>
      <c r="S143" s="16"/>
      <c r="T143" s="17"/>
    </row>
    <row r="144" spans="1:20" ht="34.200000000000003" x14ac:dyDescent="0.3">
      <c r="A144" s="11" t="s">
        <v>722</v>
      </c>
      <c r="B144" s="9" t="s">
        <v>49</v>
      </c>
      <c r="C144" s="15" t="s">
        <v>723</v>
      </c>
      <c r="D144" s="15" t="s">
        <v>704</v>
      </c>
      <c r="E144" s="15" t="s">
        <v>705</v>
      </c>
      <c r="F144" s="15" t="s">
        <v>724</v>
      </c>
      <c r="G144" s="15" t="s">
        <v>725</v>
      </c>
      <c r="H144" s="9" t="s">
        <v>52</v>
      </c>
      <c r="I144" s="15" t="s">
        <v>95</v>
      </c>
      <c r="J144" s="15" t="s">
        <v>187</v>
      </c>
      <c r="K144" s="9"/>
      <c r="L144" s="9" t="s">
        <v>97</v>
      </c>
      <c r="M144" s="9" t="s">
        <v>103</v>
      </c>
      <c r="N144" s="16" t="s">
        <v>42</v>
      </c>
      <c r="O144" s="17"/>
      <c r="P144" s="17"/>
      <c r="Q144" s="17"/>
      <c r="R144" s="18"/>
      <c r="S144" s="16"/>
      <c r="T144" s="17"/>
    </row>
    <row r="145" spans="1:20" ht="22.8" x14ac:dyDescent="0.3">
      <c r="A145" s="11" t="s">
        <v>726</v>
      </c>
      <c r="B145" s="9" t="s">
        <v>49</v>
      </c>
      <c r="C145" s="15" t="s">
        <v>727</v>
      </c>
      <c r="D145" s="15" t="s">
        <v>704</v>
      </c>
      <c r="E145" s="15" t="s">
        <v>705</v>
      </c>
      <c r="F145" s="15" t="s">
        <v>728</v>
      </c>
      <c r="G145" s="15" t="s">
        <v>729</v>
      </c>
      <c r="H145" s="9" t="s">
        <v>52</v>
      </c>
      <c r="I145" s="15" t="s">
        <v>95</v>
      </c>
      <c r="J145" s="15" t="s">
        <v>730</v>
      </c>
      <c r="K145" s="9" t="s">
        <v>731</v>
      </c>
      <c r="L145" s="9" t="s">
        <v>150</v>
      </c>
      <c r="M145" s="9" t="s">
        <v>103</v>
      </c>
      <c r="N145" s="16" t="s">
        <v>42</v>
      </c>
      <c r="O145" s="17"/>
      <c r="P145" s="17"/>
      <c r="Q145" s="17"/>
      <c r="R145" s="18"/>
      <c r="S145" s="16"/>
      <c r="T145" s="17"/>
    </row>
    <row r="146" spans="1:20" ht="34.200000000000003" x14ac:dyDescent="0.3">
      <c r="A146" s="11" t="s">
        <v>732</v>
      </c>
      <c r="B146" s="9" t="s">
        <v>49</v>
      </c>
      <c r="C146" s="15" t="s">
        <v>733</v>
      </c>
      <c r="D146" s="15" t="s">
        <v>704</v>
      </c>
      <c r="E146" s="15" t="s">
        <v>705</v>
      </c>
      <c r="F146" s="15" t="s">
        <v>734</v>
      </c>
      <c r="G146" s="15" t="s">
        <v>735</v>
      </c>
      <c r="H146" s="9" t="s">
        <v>52</v>
      </c>
      <c r="I146" s="15" t="s">
        <v>95</v>
      </c>
      <c r="J146" s="15" t="s">
        <v>181</v>
      </c>
      <c r="K146" s="9"/>
      <c r="L146" s="9" t="s">
        <v>97</v>
      </c>
      <c r="M146" s="9" t="s">
        <v>103</v>
      </c>
      <c r="N146" s="16" t="s">
        <v>42</v>
      </c>
      <c r="O146" s="17"/>
      <c r="P146" s="17"/>
      <c r="Q146" s="17"/>
      <c r="R146" s="18"/>
      <c r="S146" s="16"/>
      <c r="T146" s="17"/>
    </row>
    <row r="147" spans="1:20" ht="57" x14ac:dyDescent="0.3">
      <c r="A147" s="11" t="s">
        <v>736</v>
      </c>
      <c r="B147" s="9" t="s">
        <v>49</v>
      </c>
      <c r="C147" s="15" t="s">
        <v>737</v>
      </c>
      <c r="D147" s="15" t="s">
        <v>704</v>
      </c>
      <c r="E147" s="15" t="s">
        <v>705</v>
      </c>
      <c r="F147" s="15" t="s">
        <v>738</v>
      </c>
      <c r="G147" s="15" t="s">
        <v>739</v>
      </c>
      <c r="H147" s="9" t="s">
        <v>52</v>
      </c>
      <c r="I147" s="15" t="s">
        <v>95</v>
      </c>
      <c r="J147" s="15" t="s">
        <v>740</v>
      </c>
      <c r="K147" s="9" t="s">
        <v>741</v>
      </c>
      <c r="L147" s="9" t="s">
        <v>150</v>
      </c>
      <c r="M147" s="9" t="s">
        <v>103</v>
      </c>
      <c r="N147" s="16" t="s">
        <v>42</v>
      </c>
      <c r="O147" s="17"/>
      <c r="P147" s="17"/>
      <c r="Q147" s="17"/>
      <c r="R147" s="18"/>
      <c r="S147" s="16"/>
      <c r="T147" s="17"/>
    </row>
    <row r="148" spans="1:20" ht="34.200000000000003" x14ac:dyDescent="0.3">
      <c r="A148" s="11" t="s">
        <v>742</v>
      </c>
      <c r="B148" s="9" t="s">
        <v>49</v>
      </c>
      <c r="C148" s="15" t="s">
        <v>743</v>
      </c>
      <c r="D148" s="15" t="s">
        <v>704</v>
      </c>
      <c r="E148" s="15" t="s">
        <v>705</v>
      </c>
      <c r="F148" s="15" t="s">
        <v>744</v>
      </c>
      <c r="G148" s="15" t="s">
        <v>745</v>
      </c>
      <c r="H148" s="9" t="s">
        <v>52</v>
      </c>
      <c r="I148" s="15" t="s">
        <v>95</v>
      </c>
      <c r="J148" s="15" t="s">
        <v>746</v>
      </c>
      <c r="K148" s="9"/>
      <c r="L148" s="9" t="s">
        <v>97</v>
      </c>
      <c r="M148" s="9" t="s">
        <v>103</v>
      </c>
      <c r="N148" s="16" t="s">
        <v>42</v>
      </c>
      <c r="O148" s="17"/>
      <c r="P148" s="17"/>
      <c r="Q148" s="17"/>
      <c r="R148" s="18"/>
      <c r="S148" s="16"/>
      <c r="T148" s="17"/>
    </row>
    <row r="149" spans="1:20" ht="34.200000000000003" x14ac:dyDescent="0.3">
      <c r="A149" s="11" t="s">
        <v>747</v>
      </c>
      <c r="B149" s="9" t="s">
        <v>49</v>
      </c>
      <c r="C149" s="15" t="s">
        <v>748</v>
      </c>
      <c r="D149" s="15" t="s">
        <v>704</v>
      </c>
      <c r="E149" s="15" t="s">
        <v>705</v>
      </c>
      <c r="F149" s="15" t="s">
        <v>749</v>
      </c>
      <c r="G149" s="15" t="s">
        <v>750</v>
      </c>
      <c r="H149" s="9" t="s">
        <v>52</v>
      </c>
      <c r="I149" s="15" t="s">
        <v>95</v>
      </c>
      <c r="J149" s="15" t="s">
        <v>237</v>
      </c>
      <c r="K149" s="9" t="s">
        <v>751</v>
      </c>
      <c r="L149" s="9" t="s">
        <v>150</v>
      </c>
      <c r="M149" s="9" t="s">
        <v>103</v>
      </c>
      <c r="N149" s="16" t="s">
        <v>42</v>
      </c>
      <c r="O149" s="17"/>
      <c r="P149" s="17"/>
      <c r="Q149" s="17"/>
      <c r="R149" s="18"/>
      <c r="S149" s="16"/>
      <c r="T149" s="17"/>
    </row>
    <row r="150" spans="1:20" ht="22.8" x14ac:dyDescent="0.3">
      <c r="A150" s="11" t="s">
        <v>752</v>
      </c>
      <c r="B150" s="9" t="s">
        <v>49</v>
      </c>
      <c r="C150" s="15" t="s">
        <v>753</v>
      </c>
      <c r="D150" s="15" t="s">
        <v>704</v>
      </c>
      <c r="E150" s="15" t="s">
        <v>705</v>
      </c>
      <c r="F150" s="15" t="s">
        <v>754</v>
      </c>
      <c r="G150" s="15" t="s">
        <v>755</v>
      </c>
      <c r="H150" s="9" t="s">
        <v>52</v>
      </c>
      <c r="I150" s="15" t="s">
        <v>95</v>
      </c>
      <c r="J150" s="15" t="s">
        <v>317</v>
      </c>
      <c r="K150" s="9"/>
      <c r="L150" s="9" t="s">
        <v>97</v>
      </c>
      <c r="M150" s="9" t="s">
        <v>103</v>
      </c>
      <c r="N150" s="16" t="s">
        <v>42</v>
      </c>
      <c r="O150" s="17"/>
      <c r="P150" s="17"/>
      <c r="Q150" s="17"/>
      <c r="R150" s="18"/>
      <c r="S150" s="16"/>
      <c r="T150" s="17"/>
    </row>
    <row r="151" spans="1:20" ht="22.8" x14ac:dyDescent="0.3">
      <c r="A151" s="11" t="s">
        <v>756</v>
      </c>
      <c r="B151" s="9" t="s">
        <v>49</v>
      </c>
      <c r="C151" s="15" t="s">
        <v>757</v>
      </c>
      <c r="D151" s="15" t="s">
        <v>704</v>
      </c>
      <c r="E151" s="15" t="s">
        <v>705</v>
      </c>
      <c r="F151" s="15" t="s">
        <v>758</v>
      </c>
      <c r="G151" s="15" t="s">
        <v>759</v>
      </c>
      <c r="H151" s="9" t="s">
        <v>52</v>
      </c>
      <c r="I151" s="15" t="s">
        <v>95</v>
      </c>
      <c r="J151" s="15" t="s">
        <v>148</v>
      </c>
      <c r="K151" s="9"/>
      <c r="L151" s="9" t="s">
        <v>97</v>
      </c>
      <c r="M151" s="9" t="s">
        <v>103</v>
      </c>
      <c r="N151" s="16" t="s">
        <v>42</v>
      </c>
      <c r="O151" s="17"/>
      <c r="P151" s="17"/>
      <c r="Q151" s="17"/>
      <c r="R151" s="18"/>
      <c r="S151" s="16"/>
      <c r="T151" s="17"/>
    </row>
    <row r="152" spans="1:20" ht="34.200000000000003" x14ac:dyDescent="0.3">
      <c r="A152" s="11" t="s">
        <v>760</v>
      </c>
      <c r="B152" s="9" t="s">
        <v>49</v>
      </c>
      <c r="C152" s="15" t="s">
        <v>761</v>
      </c>
      <c r="D152" s="15" t="s">
        <v>704</v>
      </c>
      <c r="E152" s="15" t="s">
        <v>705</v>
      </c>
      <c r="F152" s="15" t="s">
        <v>762</v>
      </c>
      <c r="G152" s="15" t="s">
        <v>763</v>
      </c>
      <c r="H152" s="9" t="s">
        <v>53</v>
      </c>
      <c r="I152" s="15" t="s">
        <v>95</v>
      </c>
      <c r="J152" s="15" t="s">
        <v>161</v>
      </c>
      <c r="K152" s="9"/>
      <c r="L152" s="9" t="s">
        <v>97</v>
      </c>
      <c r="M152" s="9" t="s">
        <v>103</v>
      </c>
      <c r="N152" s="16" t="s">
        <v>42</v>
      </c>
      <c r="O152" s="17"/>
      <c r="P152" s="17"/>
      <c r="Q152" s="17"/>
      <c r="R152" s="18"/>
      <c r="S152" s="16"/>
      <c r="T152" s="17"/>
    </row>
    <row r="153" spans="1:20" ht="34.200000000000003" x14ac:dyDescent="0.3">
      <c r="A153" s="11" t="s">
        <v>764</v>
      </c>
      <c r="B153" s="9" t="s">
        <v>49</v>
      </c>
      <c r="C153" s="15" t="s">
        <v>765</v>
      </c>
      <c r="D153" s="15" t="s">
        <v>704</v>
      </c>
      <c r="E153" s="15" t="s">
        <v>705</v>
      </c>
      <c r="F153" s="15" t="s">
        <v>766</v>
      </c>
      <c r="G153" s="15" t="s">
        <v>767</v>
      </c>
      <c r="H153" s="9" t="s">
        <v>53</v>
      </c>
      <c r="I153" s="15" t="s">
        <v>95</v>
      </c>
      <c r="J153" s="15" t="s">
        <v>768</v>
      </c>
      <c r="K153" s="9" t="s">
        <v>769</v>
      </c>
      <c r="L153" s="9" t="s">
        <v>150</v>
      </c>
      <c r="M153" s="9" t="s">
        <v>103</v>
      </c>
      <c r="N153" s="16" t="s">
        <v>42</v>
      </c>
      <c r="O153" s="17"/>
      <c r="P153" s="17"/>
      <c r="Q153" s="17"/>
      <c r="R153" s="18"/>
      <c r="S153" s="16"/>
      <c r="T153" s="17"/>
    </row>
    <row r="154" spans="1:20" ht="34.200000000000003" x14ac:dyDescent="0.3">
      <c r="A154" s="11" t="s">
        <v>770</v>
      </c>
      <c r="B154" s="9" t="s">
        <v>49</v>
      </c>
      <c r="C154" s="15" t="s">
        <v>771</v>
      </c>
      <c r="D154" s="15" t="s">
        <v>704</v>
      </c>
      <c r="E154" s="15" t="s">
        <v>705</v>
      </c>
      <c r="F154" s="15" t="s">
        <v>772</v>
      </c>
      <c r="G154" s="15" t="s">
        <v>773</v>
      </c>
      <c r="H154" s="9" t="s">
        <v>52</v>
      </c>
      <c r="I154" s="15" t="s">
        <v>95</v>
      </c>
      <c r="J154" s="15" t="s">
        <v>774</v>
      </c>
      <c r="K154" s="9" t="s">
        <v>775</v>
      </c>
      <c r="L154" s="9" t="s">
        <v>150</v>
      </c>
      <c r="M154" s="9" t="s">
        <v>103</v>
      </c>
      <c r="N154" s="16" t="s">
        <v>42</v>
      </c>
      <c r="O154" s="17"/>
      <c r="P154" s="17"/>
      <c r="Q154" s="17"/>
      <c r="R154" s="18"/>
      <c r="S154" s="16"/>
      <c r="T154" s="17"/>
    </row>
    <row r="155" spans="1:20" ht="22.8" x14ac:dyDescent="0.3">
      <c r="A155" s="11" t="s">
        <v>776</v>
      </c>
      <c r="B155" s="9" t="s">
        <v>49</v>
      </c>
      <c r="C155" s="15" t="s">
        <v>777</v>
      </c>
      <c r="D155" s="15" t="s">
        <v>704</v>
      </c>
      <c r="E155" s="15" t="s">
        <v>705</v>
      </c>
      <c r="F155" s="15" t="s">
        <v>778</v>
      </c>
      <c r="G155" s="15" t="s">
        <v>779</v>
      </c>
      <c r="H155" s="9" t="s">
        <v>53</v>
      </c>
      <c r="I155" s="15" t="s">
        <v>95</v>
      </c>
      <c r="J155" s="15" t="s">
        <v>187</v>
      </c>
      <c r="K155" s="9"/>
      <c r="L155" s="9" t="s">
        <v>97</v>
      </c>
      <c r="M155" s="9" t="s">
        <v>103</v>
      </c>
      <c r="N155" s="16" t="s">
        <v>42</v>
      </c>
      <c r="O155" s="17"/>
      <c r="P155" s="17"/>
      <c r="Q155" s="17"/>
      <c r="R155" s="18"/>
      <c r="S155" s="16"/>
      <c r="T155" s="17"/>
    </row>
  </sheetData>
  <autoFilter ref="A1:T155" xr:uid="{00000000-0009-0000-0000-000002000000}"/>
  <conditionalFormatting sqref="L2:L155">
    <cfRule type="cellIs" dxfId="8" priority="5" operator="equal">
      <formula>"Known deviation"</formula>
    </cfRule>
  </conditionalFormatting>
  <conditionalFormatting sqref="N2:N155">
    <cfRule type="cellIs" dxfId="7" priority="1" operator="equal">
      <formula>"Pass"</formula>
    </cfRule>
    <cfRule type="cellIs" dxfId="6" priority="2" operator="equal">
      <formula>"Fail"</formula>
    </cfRule>
    <cfRule type="cellIs" dxfId="5" priority="3" operator="equal">
      <formula>"Blocked"</formula>
    </cfRule>
    <cfRule type="cellIs" dxfId="4" priority="4" operator="equal">
      <formula>"N/A"</formula>
    </cfRule>
  </conditionalFormatting>
  <dataValidations count="2">
    <dataValidation type="list" errorTitle="Invalid status" error="Choose Not Run, Pass, Fail, Blocked or N/A" sqref="N2:N155" xr:uid="{00000000-0002-0000-0200-000000000000}">
      <formula1>"Not Run,Pass,Fail,Blocked,N/A"</formula1>
    </dataValidation>
    <dataValidation type="date" operator="greaterThan" allowBlank="1" sqref="R2:R155" xr:uid="{00000000-0002-0000-0200-000001000000}">
      <formula1>DATE(2026,1,1)</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43"/>
  <sheetViews>
    <sheetView workbookViewId="0">
      <pane xSplit="1" ySplit="1" topLeftCell="B2" activePane="bottomRight" state="frozen"/>
      <selection pane="topRight"/>
      <selection pane="bottomLeft"/>
      <selection pane="bottomRight"/>
    </sheetView>
  </sheetViews>
  <sheetFormatPr defaultRowHeight="14.4" x14ac:dyDescent="0.3"/>
  <cols>
    <col min="1" max="1" width="13" customWidth="1"/>
    <col min="2" max="2" width="16" customWidth="1"/>
    <col min="3" max="3" width="10" customWidth="1"/>
    <col min="4" max="4" width="48" customWidth="1"/>
    <col min="5" max="5" width="9" customWidth="1"/>
    <col min="6" max="6" width="32" customWidth="1"/>
    <col min="7" max="7" width="20" customWidth="1"/>
    <col min="8" max="8" width="9" customWidth="1"/>
    <col min="9" max="10" width="7" customWidth="1"/>
    <col min="11" max="11" width="8" customWidth="1"/>
    <col min="12" max="12" width="6" customWidth="1"/>
    <col min="13" max="13" width="8" customWidth="1"/>
    <col min="14" max="14" width="10" customWidth="1"/>
    <col min="15" max="15" width="12" customWidth="1"/>
  </cols>
  <sheetData>
    <row r="1" spans="1:15" ht="31.95" customHeight="1" x14ac:dyDescent="0.3">
      <c r="A1" s="14" t="s">
        <v>780</v>
      </c>
      <c r="B1" s="14" t="s">
        <v>781</v>
      </c>
      <c r="C1" s="14" t="s">
        <v>782</v>
      </c>
      <c r="D1" s="14" t="s">
        <v>783</v>
      </c>
      <c r="E1" s="14" t="s">
        <v>784</v>
      </c>
      <c r="F1" s="14" t="s">
        <v>785</v>
      </c>
      <c r="G1" s="14" t="s">
        <v>786</v>
      </c>
      <c r="H1" s="14" t="s">
        <v>787</v>
      </c>
      <c r="I1" s="14" t="s">
        <v>38</v>
      </c>
      <c r="J1" s="14" t="s">
        <v>39</v>
      </c>
      <c r="K1" s="14" t="s">
        <v>40</v>
      </c>
      <c r="L1" s="14" t="s">
        <v>41</v>
      </c>
      <c r="M1" s="14" t="s">
        <v>42</v>
      </c>
      <c r="N1" s="14" t="s">
        <v>43</v>
      </c>
      <c r="O1" s="14" t="s">
        <v>788</v>
      </c>
    </row>
    <row r="2" spans="1:15" ht="22.8" x14ac:dyDescent="0.3">
      <c r="A2" s="11" t="s">
        <v>495</v>
      </c>
      <c r="B2" s="15" t="s">
        <v>789</v>
      </c>
      <c r="C2" s="9" t="s">
        <v>790</v>
      </c>
      <c r="D2" s="15" t="s">
        <v>791</v>
      </c>
      <c r="E2" s="9" t="s">
        <v>792</v>
      </c>
      <c r="F2" s="15" t="s">
        <v>793</v>
      </c>
      <c r="G2" s="15" t="s">
        <v>149</v>
      </c>
      <c r="H2" s="9">
        <f>COUNTIF('Test Cases'!$J$2:$J$155,"*"&amp;A2&amp;"*")</f>
        <v>4</v>
      </c>
      <c r="I2" s="9">
        <f>COUNTIFS('Test Cases'!$J$2:$J$155,"*"&amp;A2&amp;"*",'Test Cases'!$N$2:$N$155,"Pass")</f>
        <v>0</v>
      </c>
      <c r="J2" s="9">
        <f>COUNTIFS('Test Cases'!$J$2:$J$155,"*"&amp;A2&amp;"*",'Test Cases'!$N$2:$N$155,"Fail")</f>
        <v>0</v>
      </c>
      <c r="K2" s="9">
        <f>COUNTIFS('Test Cases'!$J$2:$J$155,"*"&amp;A2&amp;"*",'Test Cases'!$N$2:$N$155,"Blocked")</f>
        <v>0</v>
      </c>
      <c r="L2" s="9">
        <f>COUNTIFS('Test Cases'!$J$2:$J$155,"*"&amp;A2&amp;"*",'Test Cases'!$N$2:$N$155,"N/A")</f>
        <v>0</v>
      </c>
      <c r="M2" s="9">
        <f>COUNTIFS('Test Cases'!$J$2:$J$155,"*"&amp;A2&amp;"*",'Test Cases'!$N$2:$N$155,"Not Run")</f>
        <v>4</v>
      </c>
      <c r="N2" s="10">
        <f t="shared" ref="N2:N41" si="0">IF(H2=0,0,(H2-M2)/H2)</f>
        <v>0</v>
      </c>
      <c r="O2" s="9" t="str">
        <f t="shared" ref="O2:O41" si="1">IF(H2=0,"No coverage",IF(J2&gt;0,"Fail",IF(M2=H2,"Not run",IF(I2+L2=H2,"Pass","In progress"))))</f>
        <v>Not run</v>
      </c>
    </row>
    <row r="3" spans="1:15" ht="22.8" x14ac:dyDescent="0.3">
      <c r="A3" s="11" t="s">
        <v>157</v>
      </c>
      <c r="B3" s="15" t="s">
        <v>789</v>
      </c>
      <c r="C3" s="9" t="s">
        <v>790</v>
      </c>
      <c r="D3" s="15" t="s">
        <v>794</v>
      </c>
      <c r="E3" s="9" t="s">
        <v>792</v>
      </c>
      <c r="F3" s="15" t="s">
        <v>795</v>
      </c>
      <c r="G3" s="15" t="s">
        <v>95</v>
      </c>
      <c r="H3" s="9">
        <f>COUNTIF('Test Cases'!$J$2:$J$155,"*"&amp;A3&amp;"*")</f>
        <v>7</v>
      </c>
      <c r="I3" s="9">
        <f>COUNTIFS('Test Cases'!$J$2:$J$155,"*"&amp;A3&amp;"*",'Test Cases'!$N$2:$N$155,"Pass")</f>
        <v>0</v>
      </c>
      <c r="J3" s="9">
        <f>COUNTIFS('Test Cases'!$J$2:$J$155,"*"&amp;A3&amp;"*",'Test Cases'!$N$2:$N$155,"Fail")</f>
        <v>0</v>
      </c>
      <c r="K3" s="9">
        <f>COUNTIFS('Test Cases'!$J$2:$J$155,"*"&amp;A3&amp;"*",'Test Cases'!$N$2:$N$155,"Blocked")</f>
        <v>0</v>
      </c>
      <c r="L3" s="9">
        <f>COUNTIFS('Test Cases'!$J$2:$J$155,"*"&amp;A3&amp;"*",'Test Cases'!$N$2:$N$155,"N/A")</f>
        <v>0</v>
      </c>
      <c r="M3" s="9">
        <f>COUNTIFS('Test Cases'!$J$2:$J$155,"*"&amp;A3&amp;"*",'Test Cases'!$N$2:$N$155,"Not Run")</f>
        <v>7</v>
      </c>
      <c r="N3" s="10">
        <f t="shared" si="0"/>
        <v>0</v>
      </c>
      <c r="O3" s="9" t="str">
        <f t="shared" si="1"/>
        <v>Not run</v>
      </c>
    </row>
    <row r="4" spans="1:15" x14ac:dyDescent="0.3">
      <c r="A4" s="11" t="s">
        <v>554</v>
      </c>
      <c r="B4" s="15" t="s">
        <v>789</v>
      </c>
      <c r="C4" s="9" t="s">
        <v>790</v>
      </c>
      <c r="D4" s="15" t="s">
        <v>796</v>
      </c>
      <c r="E4" s="9" t="s">
        <v>792</v>
      </c>
      <c r="F4" s="15" t="s">
        <v>551</v>
      </c>
      <c r="G4" s="15" t="s">
        <v>555</v>
      </c>
      <c r="H4" s="9">
        <f>COUNTIF('Test Cases'!$J$2:$J$155,"*"&amp;A4&amp;"*")</f>
        <v>1</v>
      </c>
      <c r="I4" s="9">
        <f>COUNTIFS('Test Cases'!$J$2:$J$155,"*"&amp;A4&amp;"*",'Test Cases'!$N$2:$N$155,"Pass")</f>
        <v>0</v>
      </c>
      <c r="J4" s="9">
        <f>COUNTIFS('Test Cases'!$J$2:$J$155,"*"&amp;A4&amp;"*",'Test Cases'!$N$2:$N$155,"Fail")</f>
        <v>0</v>
      </c>
      <c r="K4" s="9">
        <f>COUNTIFS('Test Cases'!$J$2:$J$155,"*"&amp;A4&amp;"*",'Test Cases'!$N$2:$N$155,"Blocked")</f>
        <v>0</v>
      </c>
      <c r="L4" s="9">
        <f>COUNTIFS('Test Cases'!$J$2:$J$155,"*"&amp;A4&amp;"*",'Test Cases'!$N$2:$N$155,"N/A")</f>
        <v>0</v>
      </c>
      <c r="M4" s="9">
        <f>COUNTIFS('Test Cases'!$J$2:$J$155,"*"&amp;A4&amp;"*",'Test Cases'!$N$2:$N$155,"Not Run")</f>
        <v>1</v>
      </c>
      <c r="N4" s="10">
        <f t="shared" si="0"/>
        <v>0</v>
      </c>
      <c r="O4" s="9" t="str">
        <f t="shared" si="1"/>
        <v>Not run</v>
      </c>
    </row>
    <row r="5" spans="1:15" ht="22.8" x14ac:dyDescent="0.3">
      <c r="A5" s="11" t="s">
        <v>539</v>
      </c>
      <c r="B5" s="15" t="s">
        <v>789</v>
      </c>
      <c r="C5" s="9" t="s">
        <v>790</v>
      </c>
      <c r="D5" s="15" t="s">
        <v>797</v>
      </c>
      <c r="E5" s="9" t="s">
        <v>792</v>
      </c>
      <c r="F5" s="15" t="s">
        <v>798</v>
      </c>
      <c r="G5" s="15" t="s">
        <v>95</v>
      </c>
      <c r="H5" s="9">
        <f>COUNTIF('Test Cases'!$J$2:$J$155,"*"&amp;A5&amp;"*")</f>
        <v>4</v>
      </c>
      <c r="I5" s="9">
        <f>COUNTIFS('Test Cases'!$J$2:$J$155,"*"&amp;A5&amp;"*",'Test Cases'!$N$2:$N$155,"Pass")</f>
        <v>0</v>
      </c>
      <c r="J5" s="9">
        <f>COUNTIFS('Test Cases'!$J$2:$J$155,"*"&amp;A5&amp;"*",'Test Cases'!$N$2:$N$155,"Fail")</f>
        <v>0</v>
      </c>
      <c r="K5" s="9">
        <f>COUNTIFS('Test Cases'!$J$2:$J$155,"*"&amp;A5&amp;"*",'Test Cases'!$N$2:$N$155,"Blocked")</f>
        <v>0</v>
      </c>
      <c r="L5" s="9">
        <f>COUNTIFS('Test Cases'!$J$2:$J$155,"*"&amp;A5&amp;"*",'Test Cases'!$N$2:$N$155,"N/A")</f>
        <v>0</v>
      </c>
      <c r="M5" s="9">
        <f>COUNTIFS('Test Cases'!$J$2:$J$155,"*"&amp;A5&amp;"*",'Test Cases'!$N$2:$N$155,"Not Run")</f>
        <v>4</v>
      </c>
      <c r="N5" s="10">
        <f t="shared" si="0"/>
        <v>0</v>
      </c>
      <c r="O5" s="9" t="str">
        <f t="shared" si="1"/>
        <v>Not run</v>
      </c>
    </row>
    <row r="6" spans="1:15" ht="22.8" x14ac:dyDescent="0.3">
      <c r="A6" s="11" t="s">
        <v>519</v>
      </c>
      <c r="B6" s="15" t="s">
        <v>789</v>
      </c>
      <c r="C6" s="9" t="s">
        <v>799</v>
      </c>
      <c r="D6" s="15" t="s">
        <v>800</v>
      </c>
      <c r="E6" s="9" t="s">
        <v>801</v>
      </c>
      <c r="F6" s="15" t="s">
        <v>802</v>
      </c>
      <c r="G6" s="15" t="s">
        <v>149</v>
      </c>
      <c r="H6" s="9">
        <f>COUNTIF('Test Cases'!$J$2:$J$155,"*"&amp;A6&amp;"*")</f>
        <v>6</v>
      </c>
      <c r="I6" s="9">
        <f>COUNTIFS('Test Cases'!$J$2:$J$155,"*"&amp;A6&amp;"*",'Test Cases'!$N$2:$N$155,"Pass")</f>
        <v>0</v>
      </c>
      <c r="J6" s="9">
        <f>COUNTIFS('Test Cases'!$J$2:$J$155,"*"&amp;A6&amp;"*",'Test Cases'!$N$2:$N$155,"Fail")</f>
        <v>0</v>
      </c>
      <c r="K6" s="9">
        <f>COUNTIFS('Test Cases'!$J$2:$J$155,"*"&amp;A6&amp;"*",'Test Cases'!$N$2:$N$155,"Blocked")</f>
        <v>0</v>
      </c>
      <c r="L6" s="9">
        <f>COUNTIFS('Test Cases'!$J$2:$J$155,"*"&amp;A6&amp;"*",'Test Cases'!$N$2:$N$155,"N/A")</f>
        <v>0</v>
      </c>
      <c r="M6" s="9">
        <f>COUNTIFS('Test Cases'!$J$2:$J$155,"*"&amp;A6&amp;"*",'Test Cases'!$N$2:$N$155,"Not Run")</f>
        <v>6</v>
      </c>
      <c r="N6" s="10">
        <f t="shared" si="0"/>
        <v>0</v>
      </c>
      <c r="O6" s="9" t="str">
        <f t="shared" si="1"/>
        <v>Not run</v>
      </c>
    </row>
    <row r="7" spans="1:15" ht="22.8" x14ac:dyDescent="0.3">
      <c r="A7" s="11" t="s">
        <v>317</v>
      </c>
      <c r="B7" s="15" t="s">
        <v>803</v>
      </c>
      <c r="C7" s="9" t="s">
        <v>804</v>
      </c>
      <c r="D7" s="15" t="s">
        <v>805</v>
      </c>
      <c r="E7" s="9" t="s">
        <v>792</v>
      </c>
      <c r="F7" s="15" t="s">
        <v>806</v>
      </c>
      <c r="G7" s="15" t="s">
        <v>95</v>
      </c>
      <c r="H7" s="9">
        <f>COUNTIF('Test Cases'!$J$2:$J$155,"*"&amp;A7&amp;"*")</f>
        <v>7</v>
      </c>
      <c r="I7" s="9">
        <f>COUNTIFS('Test Cases'!$J$2:$J$155,"*"&amp;A7&amp;"*",'Test Cases'!$N$2:$N$155,"Pass")</f>
        <v>0</v>
      </c>
      <c r="J7" s="9">
        <f>COUNTIFS('Test Cases'!$J$2:$J$155,"*"&amp;A7&amp;"*",'Test Cases'!$N$2:$N$155,"Fail")</f>
        <v>0</v>
      </c>
      <c r="K7" s="9">
        <f>COUNTIFS('Test Cases'!$J$2:$J$155,"*"&amp;A7&amp;"*",'Test Cases'!$N$2:$N$155,"Blocked")</f>
        <v>0</v>
      </c>
      <c r="L7" s="9">
        <f>COUNTIFS('Test Cases'!$J$2:$J$155,"*"&amp;A7&amp;"*",'Test Cases'!$N$2:$N$155,"N/A")</f>
        <v>0</v>
      </c>
      <c r="M7" s="9">
        <f>COUNTIFS('Test Cases'!$J$2:$J$155,"*"&amp;A7&amp;"*",'Test Cases'!$N$2:$N$155,"Not Run")</f>
        <v>7</v>
      </c>
      <c r="N7" s="10">
        <f t="shared" si="0"/>
        <v>0</v>
      </c>
      <c r="O7" s="9" t="str">
        <f t="shared" si="1"/>
        <v>Not run</v>
      </c>
    </row>
    <row r="8" spans="1:15" ht="22.8" x14ac:dyDescent="0.3">
      <c r="A8" s="11" t="s">
        <v>635</v>
      </c>
      <c r="B8" s="15" t="s">
        <v>803</v>
      </c>
      <c r="C8" s="9" t="s">
        <v>804</v>
      </c>
      <c r="D8" s="15" t="s">
        <v>807</v>
      </c>
      <c r="E8" s="9" t="s">
        <v>792</v>
      </c>
      <c r="F8" s="15" t="s">
        <v>808</v>
      </c>
      <c r="G8" s="15" t="s">
        <v>741</v>
      </c>
      <c r="H8" s="9">
        <f>COUNTIF('Test Cases'!$J$2:$J$155,"*"&amp;A8&amp;"*")</f>
        <v>6</v>
      </c>
      <c r="I8" s="9">
        <f>COUNTIFS('Test Cases'!$J$2:$J$155,"*"&amp;A8&amp;"*",'Test Cases'!$N$2:$N$155,"Pass")</f>
        <v>0</v>
      </c>
      <c r="J8" s="9">
        <f>COUNTIFS('Test Cases'!$J$2:$J$155,"*"&amp;A8&amp;"*",'Test Cases'!$N$2:$N$155,"Fail")</f>
        <v>0</v>
      </c>
      <c r="K8" s="9">
        <f>COUNTIFS('Test Cases'!$J$2:$J$155,"*"&amp;A8&amp;"*",'Test Cases'!$N$2:$N$155,"Blocked")</f>
        <v>0</v>
      </c>
      <c r="L8" s="9">
        <f>COUNTIFS('Test Cases'!$J$2:$J$155,"*"&amp;A8&amp;"*",'Test Cases'!$N$2:$N$155,"N/A")</f>
        <v>0</v>
      </c>
      <c r="M8" s="9">
        <f>COUNTIFS('Test Cases'!$J$2:$J$155,"*"&amp;A8&amp;"*",'Test Cases'!$N$2:$N$155,"Not Run")</f>
        <v>6</v>
      </c>
      <c r="N8" s="10">
        <f t="shared" si="0"/>
        <v>0</v>
      </c>
      <c r="O8" s="9" t="str">
        <f t="shared" si="1"/>
        <v>Not run</v>
      </c>
    </row>
    <row r="9" spans="1:15" ht="22.8" x14ac:dyDescent="0.3">
      <c r="A9" s="11" t="s">
        <v>809</v>
      </c>
      <c r="B9" s="15" t="s">
        <v>803</v>
      </c>
      <c r="C9" s="9" t="s">
        <v>804</v>
      </c>
      <c r="D9" s="15" t="s">
        <v>810</v>
      </c>
      <c r="E9" s="9" t="s">
        <v>792</v>
      </c>
      <c r="F9" s="15" t="s">
        <v>811</v>
      </c>
      <c r="G9" s="15" t="s">
        <v>812</v>
      </c>
      <c r="H9" s="9">
        <f>COUNTIF('Test Cases'!$J$2:$J$155,"*"&amp;A9&amp;"*")</f>
        <v>2</v>
      </c>
      <c r="I9" s="9">
        <f>COUNTIFS('Test Cases'!$J$2:$J$155,"*"&amp;A9&amp;"*",'Test Cases'!$N$2:$N$155,"Pass")</f>
        <v>0</v>
      </c>
      <c r="J9" s="9">
        <f>COUNTIFS('Test Cases'!$J$2:$J$155,"*"&amp;A9&amp;"*",'Test Cases'!$N$2:$N$155,"Fail")</f>
        <v>0</v>
      </c>
      <c r="K9" s="9">
        <f>COUNTIFS('Test Cases'!$J$2:$J$155,"*"&amp;A9&amp;"*",'Test Cases'!$N$2:$N$155,"Blocked")</f>
        <v>0</v>
      </c>
      <c r="L9" s="9">
        <f>COUNTIFS('Test Cases'!$J$2:$J$155,"*"&amp;A9&amp;"*",'Test Cases'!$N$2:$N$155,"N/A")</f>
        <v>0</v>
      </c>
      <c r="M9" s="9">
        <f>COUNTIFS('Test Cases'!$J$2:$J$155,"*"&amp;A9&amp;"*",'Test Cases'!$N$2:$N$155,"Not Run")</f>
        <v>2</v>
      </c>
      <c r="N9" s="10">
        <f t="shared" si="0"/>
        <v>0</v>
      </c>
      <c r="O9" s="9" t="str">
        <f t="shared" si="1"/>
        <v>Not run</v>
      </c>
    </row>
    <row r="10" spans="1:15" ht="22.8" x14ac:dyDescent="0.3">
      <c r="A10" s="11" t="s">
        <v>339</v>
      </c>
      <c r="B10" s="15" t="s">
        <v>803</v>
      </c>
      <c r="C10" s="9" t="s">
        <v>804</v>
      </c>
      <c r="D10" s="15" t="s">
        <v>813</v>
      </c>
      <c r="E10" s="9" t="s">
        <v>792</v>
      </c>
      <c r="F10" s="15" t="s">
        <v>336</v>
      </c>
      <c r="G10" s="15" t="s">
        <v>340</v>
      </c>
      <c r="H10" s="9">
        <f>COUNTIF('Test Cases'!$J$2:$J$155,"*"&amp;A10&amp;"*")</f>
        <v>1</v>
      </c>
      <c r="I10" s="9">
        <f>COUNTIFS('Test Cases'!$J$2:$J$155,"*"&amp;A10&amp;"*",'Test Cases'!$N$2:$N$155,"Pass")</f>
        <v>0</v>
      </c>
      <c r="J10" s="9">
        <f>COUNTIFS('Test Cases'!$J$2:$J$155,"*"&amp;A10&amp;"*",'Test Cases'!$N$2:$N$155,"Fail")</f>
        <v>0</v>
      </c>
      <c r="K10" s="9">
        <f>COUNTIFS('Test Cases'!$J$2:$J$155,"*"&amp;A10&amp;"*",'Test Cases'!$N$2:$N$155,"Blocked")</f>
        <v>0</v>
      </c>
      <c r="L10" s="9">
        <f>COUNTIFS('Test Cases'!$J$2:$J$155,"*"&amp;A10&amp;"*",'Test Cases'!$N$2:$N$155,"N/A")</f>
        <v>0</v>
      </c>
      <c r="M10" s="9">
        <f>COUNTIFS('Test Cases'!$J$2:$J$155,"*"&amp;A10&amp;"*",'Test Cases'!$N$2:$N$155,"Not Run")</f>
        <v>1</v>
      </c>
      <c r="N10" s="10">
        <f t="shared" si="0"/>
        <v>0</v>
      </c>
      <c r="O10" s="9" t="str">
        <f t="shared" si="1"/>
        <v>Not run</v>
      </c>
    </row>
    <row r="11" spans="1:15" x14ac:dyDescent="0.3">
      <c r="A11" s="11" t="s">
        <v>814</v>
      </c>
      <c r="B11" s="15" t="s">
        <v>803</v>
      </c>
      <c r="C11" s="9" t="s">
        <v>804</v>
      </c>
      <c r="D11" s="15" t="s">
        <v>815</v>
      </c>
      <c r="E11" s="9" t="s">
        <v>792</v>
      </c>
      <c r="F11" s="15" t="s">
        <v>318</v>
      </c>
      <c r="G11" s="15" t="s">
        <v>816</v>
      </c>
      <c r="H11" s="9">
        <f>COUNTIF('Test Cases'!$J$2:$J$155,"*"&amp;A11&amp;"*")</f>
        <v>1</v>
      </c>
      <c r="I11" s="9">
        <f>COUNTIFS('Test Cases'!$J$2:$J$155,"*"&amp;A11&amp;"*",'Test Cases'!$N$2:$N$155,"Pass")</f>
        <v>0</v>
      </c>
      <c r="J11" s="9">
        <f>COUNTIFS('Test Cases'!$J$2:$J$155,"*"&amp;A11&amp;"*",'Test Cases'!$N$2:$N$155,"Fail")</f>
        <v>0</v>
      </c>
      <c r="K11" s="9">
        <f>COUNTIFS('Test Cases'!$J$2:$J$155,"*"&amp;A11&amp;"*",'Test Cases'!$N$2:$N$155,"Blocked")</f>
        <v>0</v>
      </c>
      <c r="L11" s="9">
        <f>COUNTIFS('Test Cases'!$J$2:$J$155,"*"&amp;A11&amp;"*",'Test Cases'!$N$2:$N$155,"N/A")</f>
        <v>0</v>
      </c>
      <c r="M11" s="9">
        <f>COUNTIFS('Test Cases'!$J$2:$J$155,"*"&amp;A11&amp;"*",'Test Cases'!$N$2:$N$155,"Not Run")</f>
        <v>1</v>
      </c>
      <c r="N11" s="10">
        <f t="shared" si="0"/>
        <v>0</v>
      </c>
      <c r="O11" s="9" t="str">
        <f t="shared" si="1"/>
        <v>Not run</v>
      </c>
    </row>
    <row r="12" spans="1:15" ht="34.200000000000003" x14ac:dyDescent="0.3">
      <c r="A12" s="11" t="s">
        <v>352</v>
      </c>
      <c r="B12" s="15" t="s">
        <v>803</v>
      </c>
      <c r="C12" s="9" t="s">
        <v>817</v>
      </c>
      <c r="D12" s="15" t="s">
        <v>818</v>
      </c>
      <c r="E12" s="9" t="s">
        <v>801</v>
      </c>
      <c r="F12" s="15" t="s">
        <v>819</v>
      </c>
      <c r="G12" s="15" t="s">
        <v>353</v>
      </c>
      <c r="H12" s="9">
        <f>COUNTIF('Test Cases'!$J$2:$J$155,"*"&amp;A12&amp;"*")</f>
        <v>6</v>
      </c>
      <c r="I12" s="9">
        <f>COUNTIFS('Test Cases'!$J$2:$J$155,"*"&amp;A12&amp;"*",'Test Cases'!$N$2:$N$155,"Pass")</f>
        <v>0</v>
      </c>
      <c r="J12" s="9">
        <f>COUNTIFS('Test Cases'!$J$2:$J$155,"*"&amp;A12&amp;"*",'Test Cases'!$N$2:$N$155,"Fail")</f>
        <v>0</v>
      </c>
      <c r="K12" s="9">
        <f>COUNTIFS('Test Cases'!$J$2:$J$155,"*"&amp;A12&amp;"*",'Test Cases'!$N$2:$N$155,"Blocked")</f>
        <v>0</v>
      </c>
      <c r="L12" s="9">
        <f>COUNTIFS('Test Cases'!$J$2:$J$155,"*"&amp;A12&amp;"*",'Test Cases'!$N$2:$N$155,"N/A")</f>
        <v>0</v>
      </c>
      <c r="M12" s="9">
        <f>COUNTIFS('Test Cases'!$J$2:$J$155,"*"&amp;A12&amp;"*",'Test Cases'!$N$2:$N$155,"Not Run")</f>
        <v>6</v>
      </c>
      <c r="N12" s="10">
        <f t="shared" si="0"/>
        <v>0</v>
      </c>
      <c r="O12" s="9" t="str">
        <f t="shared" si="1"/>
        <v>Not run</v>
      </c>
    </row>
    <row r="13" spans="1:15" ht="22.8" x14ac:dyDescent="0.3">
      <c r="A13" s="11" t="s">
        <v>365</v>
      </c>
      <c r="B13" s="15" t="s">
        <v>820</v>
      </c>
      <c r="C13" s="9" t="s">
        <v>821</v>
      </c>
      <c r="D13" s="15" t="s">
        <v>822</v>
      </c>
      <c r="E13" s="9" t="s">
        <v>792</v>
      </c>
      <c r="F13" s="15" t="s">
        <v>823</v>
      </c>
      <c r="G13" s="15" t="s">
        <v>413</v>
      </c>
      <c r="H13" s="9">
        <f>COUNTIF('Test Cases'!$J$2:$J$155,"*"&amp;A13&amp;"*")</f>
        <v>3</v>
      </c>
      <c r="I13" s="9">
        <f>COUNTIFS('Test Cases'!$J$2:$J$155,"*"&amp;A13&amp;"*",'Test Cases'!$N$2:$N$155,"Pass")</f>
        <v>0</v>
      </c>
      <c r="J13" s="9">
        <f>COUNTIFS('Test Cases'!$J$2:$J$155,"*"&amp;A13&amp;"*",'Test Cases'!$N$2:$N$155,"Fail")</f>
        <v>0</v>
      </c>
      <c r="K13" s="9">
        <f>COUNTIFS('Test Cases'!$J$2:$J$155,"*"&amp;A13&amp;"*",'Test Cases'!$N$2:$N$155,"Blocked")</f>
        <v>0</v>
      </c>
      <c r="L13" s="9">
        <f>COUNTIFS('Test Cases'!$J$2:$J$155,"*"&amp;A13&amp;"*",'Test Cases'!$N$2:$N$155,"N/A")</f>
        <v>0</v>
      </c>
      <c r="M13" s="9">
        <f>COUNTIFS('Test Cases'!$J$2:$J$155,"*"&amp;A13&amp;"*",'Test Cases'!$N$2:$N$155,"Not Run")</f>
        <v>3</v>
      </c>
      <c r="N13" s="10">
        <f t="shared" si="0"/>
        <v>0</v>
      </c>
      <c r="O13" s="9" t="str">
        <f t="shared" si="1"/>
        <v>Not run</v>
      </c>
    </row>
    <row r="14" spans="1:15" ht="22.8" x14ac:dyDescent="0.3">
      <c r="A14" s="11" t="s">
        <v>369</v>
      </c>
      <c r="B14" s="15" t="s">
        <v>820</v>
      </c>
      <c r="C14" s="9" t="s">
        <v>821</v>
      </c>
      <c r="D14" s="15" t="s">
        <v>824</v>
      </c>
      <c r="E14" s="9" t="s">
        <v>792</v>
      </c>
      <c r="F14" s="15" t="s">
        <v>825</v>
      </c>
      <c r="G14" s="15" t="s">
        <v>420</v>
      </c>
      <c r="H14" s="9">
        <f>COUNTIF('Test Cases'!$J$2:$J$155,"*"&amp;A14&amp;"*")</f>
        <v>3</v>
      </c>
      <c r="I14" s="9">
        <f>COUNTIFS('Test Cases'!$J$2:$J$155,"*"&amp;A14&amp;"*",'Test Cases'!$N$2:$N$155,"Pass")</f>
        <v>0</v>
      </c>
      <c r="J14" s="9">
        <f>COUNTIFS('Test Cases'!$J$2:$J$155,"*"&amp;A14&amp;"*",'Test Cases'!$N$2:$N$155,"Fail")</f>
        <v>0</v>
      </c>
      <c r="K14" s="9">
        <f>COUNTIFS('Test Cases'!$J$2:$J$155,"*"&amp;A14&amp;"*",'Test Cases'!$N$2:$N$155,"Blocked")</f>
        <v>0</v>
      </c>
      <c r="L14" s="9">
        <f>COUNTIFS('Test Cases'!$J$2:$J$155,"*"&amp;A14&amp;"*",'Test Cases'!$N$2:$N$155,"N/A")</f>
        <v>0</v>
      </c>
      <c r="M14" s="9">
        <f>COUNTIFS('Test Cases'!$J$2:$J$155,"*"&amp;A14&amp;"*",'Test Cases'!$N$2:$N$155,"Not Run")</f>
        <v>3</v>
      </c>
      <c r="N14" s="10">
        <f t="shared" si="0"/>
        <v>0</v>
      </c>
      <c r="O14" s="9" t="str">
        <f t="shared" si="1"/>
        <v>Not run</v>
      </c>
    </row>
    <row r="15" spans="1:15" ht="22.8" x14ac:dyDescent="0.3">
      <c r="A15" s="11" t="s">
        <v>401</v>
      </c>
      <c r="B15" s="15" t="s">
        <v>820</v>
      </c>
      <c r="C15" s="9" t="s">
        <v>821</v>
      </c>
      <c r="D15" s="15" t="s">
        <v>826</v>
      </c>
      <c r="E15" s="9" t="s">
        <v>792</v>
      </c>
      <c r="F15" s="15" t="s">
        <v>398</v>
      </c>
      <c r="G15" s="15" t="s">
        <v>402</v>
      </c>
      <c r="H15" s="9">
        <f>COUNTIF('Test Cases'!$J$2:$J$155,"*"&amp;A15&amp;"*")</f>
        <v>1</v>
      </c>
      <c r="I15" s="9">
        <f>COUNTIFS('Test Cases'!$J$2:$J$155,"*"&amp;A15&amp;"*",'Test Cases'!$N$2:$N$155,"Pass")</f>
        <v>0</v>
      </c>
      <c r="J15" s="9">
        <f>COUNTIFS('Test Cases'!$J$2:$J$155,"*"&amp;A15&amp;"*",'Test Cases'!$N$2:$N$155,"Fail")</f>
        <v>0</v>
      </c>
      <c r="K15" s="9">
        <f>COUNTIFS('Test Cases'!$J$2:$J$155,"*"&amp;A15&amp;"*",'Test Cases'!$N$2:$N$155,"Blocked")</f>
        <v>0</v>
      </c>
      <c r="L15" s="9">
        <f>COUNTIFS('Test Cases'!$J$2:$J$155,"*"&amp;A15&amp;"*",'Test Cases'!$N$2:$N$155,"N/A")</f>
        <v>0</v>
      </c>
      <c r="M15" s="9">
        <f>COUNTIFS('Test Cases'!$J$2:$J$155,"*"&amp;A15&amp;"*",'Test Cases'!$N$2:$N$155,"Not Run")</f>
        <v>1</v>
      </c>
      <c r="N15" s="10">
        <f t="shared" si="0"/>
        <v>0</v>
      </c>
      <c r="O15" s="9" t="str">
        <f t="shared" si="1"/>
        <v>Not run</v>
      </c>
    </row>
    <row r="16" spans="1:15" ht="22.8" x14ac:dyDescent="0.3">
      <c r="A16" s="11" t="s">
        <v>133</v>
      </c>
      <c r="B16" s="15" t="s">
        <v>820</v>
      </c>
      <c r="C16" s="9" t="s">
        <v>821</v>
      </c>
      <c r="D16" s="15" t="s">
        <v>827</v>
      </c>
      <c r="E16" s="9" t="s">
        <v>792</v>
      </c>
      <c r="F16" s="15" t="s">
        <v>828</v>
      </c>
      <c r="G16" s="15" t="s">
        <v>829</v>
      </c>
      <c r="H16" s="9">
        <f>COUNTIF('Test Cases'!$J$2:$J$155,"*"&amp;A16&amp;"*")</f>
        <v>11</v>
      </c>
      <c r="I16" s="9">
        <f>COUNTIFS('Test Cases'!$J$2:$J$155,"*"&amp;A16&amp;"*",'Test Cases'!$N$2:$N$155,"Pass")</f>
        <v>0</v>
      </c>
      <c r="J16" s="9">
        <f>COUNTIFS('Test Cases'!$J$2:$J$155,"*"&amp;A16&amp;"*",'Test Cases'!$N$2:$N$155,"Fail")</f>
        <v>0</v>
      </c>
      <c r="K16" s="9">
        <f>COUNTIFS('Test Cases'!$J$2:$J$155,"*"&amp;A16&amp;"*",'Test Cases'!$N$2:$N$155,"Blocked")</f>
        <v>0</v>
      </c>
      <c r="L16" s="9">
        <f>COUNTIFS('Test Cases'!$J$2:$J$155,"*"&amp;A16&amp;"*",'Test Cases'!$N$2:$N$155,"N/A")</f>
        <v>0</v>
      </c>
      <c r="M16" s="9">
        <f>COUNTIFS('Test Cases'!$J$2:$J$155,"*"&amp;A16&amp;"*",'Test Cases'!$N$2:$N$155,"Not Run")</f>
        <v>11</v>
      </c>
      <c r="N16" s="10">
        <f t="shared" si="0"/>
        <v>0</v>
      </c>
      <c r="O16" s="9" t="str">
        <f t="shared" si="1"/>
        <v>Not run</v>
      </c>
    </row>
    <row r="17" spans="1:15" ht="34.200000000000003" x14ac:dyDescent="0.3">
      <c r="A17" s="11" t="s">
        <v>384</v>
      </c>
      <c r="B17" s="15" t="s">
        <v>820</v>
      </c>
      <c r="C17" s="9" t="s">
        <v>830</v>
      </c>
      <c r="D17" s="15" t="s">
        <v>831</v>
      </c>
      <c r="E17" s="9" t="s">
        <v>801</v>
      </c>
      <c r="F17" s="15" t="s">
        <v>832</v>
      </c>
      <c r="G17" s="15" t="s">
        <v>833</v>
      </c>
      <c r="H17" s="9">
        <f>COUNTIF('Test Cases'!$J$2:$J$155,"*"&amp;A17&amp;"*")</f>
        <v>4</v>
      </c>
      <c r="I17" s="9">
        <f>COUNTIFS('Test Cases'!$J$2:$J$155,"*"&amp;A17&amp;"*",'Test Cases'!$N$2:$N$155,"Pass")</f>
        <v>0</v>
      </c>
      <c r="J17" s="9">
        <f>COUNTIFS('Test Cases'!$J$2:$J$155,"*"&amp;A17&amp;"*",'Test Cases'!$N$2:$N$155,"Fail")</f>
        <v>0</v>
      </c>
      <c r="K17" s="9">
        <f>COUNTIFS('Test Cases'!$J$2:$J$155,"*"&amp;A17&amp;"*",'Test Cases'!$N$2:$N$155,"Blocked")</f>
        <v>0</v>
      </c>
      <c r="L17" s="9">
        <f>COUNTIFS('Test Cases'!$J$2:$J$155,"*"&amp;A17&amp;"*",'Test Cases'!$N$2:$N$155,"N/A")</f>
        <v>0</v>
      </c>
      <c r="M17" s="9">
        <f>COUNTIFS('Test Cases'!$J$2:$J$155,"*"&amp;A17&amp;"*",'Test Cases'!$N$2:$N$155,"Not Run")</f>
        <v>4</v>
      </c>
      <c r="N17" s="10">
        <f t="shared" si="0"/>
        <v>0</v>
      </c>
      <c r="O17" s="9" t="str">
        <f t="shared" si="1"/>
        <v>Not run</v>
      </c>
    </row>
    <row r="18" spans="1:15" ht="45.6" x14ac:dyDescent="0.3">
      <c r="A18" s="11" t="s">
        <v>107</v>
      </c>
      <c r="B18" s="15" t="s">
        <v>834</v>
      </c>
      <c r="C18" s="9" t="s">
        <v>835</v>
      </c>
      <c r="D18" s="15" t="s">
        <v>836</v>
      </c>
      <c r="E18" s="9" t="s">
        <v>792</v>
      </c>
      <c r="F18" s="15" t="s">
        <v>837</v>
      </c>
      <c r="G18" s="15" t="s">
        <v>769</v>
      </c>
      <c r="H18" s="9">
        <f>COUNTIF('Test Cases'!$J$2:$J$155,"*"&amp;A18&amp;"*")</f>
        <v>19</v>
      </c>
      <c r="I18" s="9">
        <f>COUNTIFS('Test Cases'!$J$2:$J$155,"*"&amp;A18&amp;"*",'Test Cases'!$N$2:$N$155,"Pass")</f>
        <v>0</v>
      </c>
      <c r="J18" s="9">
        <f>COUNTIFS('Test Cases'!$J$2:$J$155,"*"&amp;A18&amp;"*",'Test Cases'!$N$2:$N$155,"Fail")</f>
        <v>0</v>
      </c>
      <c r="K18" s="9">
        <f>COUNTIFS('Test Cases'!$J$2:$J$155,"*"&amp;A18&amp;"*",'Test Cases'!$N$2:$N$155,"Blocked")</f>
        <v>0</v>
      </c>
      <c r="L18" s="9">
        <f>COUNTIFS('Test Cases'!$J$2:$J$155,"*"&amp;A18&amp;"*",'Test Cases'!$N$2:$N$155,"N/A")</f>
        <v>0</v>
      </c>
      <c r="M18" s="9">
        <f>COUNTIFS('Test Cases'!$J$2:$J$155,"*"&amp;A18&amp;"*",'Test Cases'!$N$2:$N$155,"Not Run")</f>
        <v>19</v>
      </c>
      <c r="N18" s="10">
        <f t="shared" si="0"/>
        <v>0</v>
      </c>
      <c r="O18" s="9" t="str">
        <f t="shared" si="1"/>
        <v>Not run</v>
      </c>
    </row>
    <row r="19" spans="1:15" ht="22.8" x14ac:dyDescent="0.3">
      <c r="A19" s="11" t="s">
        <v>148</v>
      </c>
      <c r="B19" s="15" t="s">
        <v>834</v>
      </c>
      <c r="C19" s="9" t="s">
        <v>835</v>
      </c>
      <c r="D19" s="15" t="s">
        <v>838</v>
      </c>
      <c r="E19" s="9" t="s">
        <v>792</v>
      </c>
      <c r="F19" s="15" t="s">
        <v>839</v>
      </c>
      <c r="G19" s="15" t="s">
        <v>392</v>
      </c>
      <c r="H19" s="9">
        <f>COUNTIF('Test Cases'!$J$2:$J$155,"*"&amp;A19&amp;"*")</f>
        <v>8</v>
      </c>
      <c r="I19" s="9">
        <f>COUNTIFS('Test Cases'!$J$2:$J$155,"*"&amp;A19&amp;"*",'Test Cases'!$N$2:$N$155,"Pass")</f>
        <v>0</v>
      </c>
      <c r="J19" s="9">
        <f>COUNTIFS('Test Cases'!$J$2:$J$155,"*"&amp;A19&amp;"*",'Test Cases'!$N$2:$N$155,"Fail")</f>
        <v>0</v>
      </c>
      <c r="K19" s="9">
        <f>COUNTIFS('Test Cases'!$J$2:$J$155,"*"&amp;A19&amp;"*",'Test Cases'!$N$2:$N$155,"Blocked")</f>
        <v>0</v>
      </c>
      <c r="L19" s="9">
        <f>COUNTIFS('Test Cases'!$J$2:$J$155,"*"&amp;A19&amp;"*",'Test Cases'!$N$2:$N$155,"N/A")</f>
        <v>0</v>
      </c>
      <c r="M19" s="9">
        <f>COUNTIFS('Test Cases'!$J$2:$J$155,"*"&amp;A19&amp;"*",'Test Cases'!$N$2:$N$155,"Not Run")</f>
        <v>8</v>
      </c>
      <c r="N19" s="10">
        <f t="shared" si="0"/>
        <v>0</v>
      </c>
      <c r="O19" s="9" t="str">
        <f t="shared" si="1"/>
        <v>Not run</v>
      </c>
    </row>
    <row r="20" spans="1:15" ht="22.8" x14ac:dyDescent="0.3">
      <c r="A20" s="11" t="s">
        <v>439</v>
      </c>
      <c r="B20" s="15" t="s">
        <v>834</v>
      </c>
      <c r="C20" s="9" t="s">
        <v>835</v>
      </c>
      <c r="D20" s="15" t="s">
        <v>840</v>
      </c>
      <c r="E20" s="9" t="s">
        <v>792</v>
      </c>
      <c r="F20" s="15" t="s">
        <v>841</v>
      </c>
      <c r="G20" s="15" t="s">
        <v>446</v>
      </c>
      <c r="H20" s="9">
        <f>COUNTIF('Test Cases'!$J$2:$J$155,"*"&amp;A20&amp;"*")</f>
        <v>3</v>
      </c>
      <c r="I20" s="9">
        <f>COUNTIFS('Test Cases'!$J$2:$J$155,"*"&amp;A20&amp;"*",'Test Cases'!$N$2:$N$155,"Pass")</f>
        <v>0</v>
      </c>
      <c r="J20" s="9">
        <f>COUNTIFS('Test Cases'!$J$2:$J$155,"*"&amp;A20&amp;"*",'Test Cases'!$N$2:$N$155,"Fail")</f>
        <v>0</v>
      </c>
      <c r="K20" s="9">
        <f>COUNTIFS('Test Cases'!$J$2:$J$155,"*"&amp;A20&amp;"*",'Test Cases'!$N$2:$N$155,"Blocked")</f>
        <v>0</v>
      </c>
      <c r="L20" s="9">
        <f>COUNTIFS('Test Cases'!$J$2:$J$155,"*"&amp;A20&amp;"*",'Test Cases'!$N$2:$N$155,"N/A")</f>
        <v>0</v>
      </c>
      <c r="M20" s="9">
        <f>COUNTIFS('Test Cases'!$J$2:$J$155,"*"&amp;A20&amp;"*",'Test Cases'!$N$2:$N$155,"Not Run")</f>
        <v>3</v>
      </c>
      <c r="N20" s="10">
        <f t="shared" si="0"/>
        <v>0</v>
      </c>
      <c r="O20" s="9" t="str">
        <f t="shared" si="1"/>
        <v>Not run</v>
      </c>
    </row>
    <row r="21" spans="1:15" ht="22.8" x14ac:dyDescent="0.3">
      <c r="A21" s="11" t="s">
        <v>661</v>
      </c>
      <c r="B21" s="15" t="s">
        <v>834</v>
      </c>
      <c r="C21" s="9" t="s">
        <v>835</v>
      </c>
      <c r="D21" s="15" t="s">
        <v>842</v>
      </c>
      <c r="E21" s="9" t="s">
        <v>792</v>
      </c>
      <c r="F21" s="15" t="s">
        <v>656</v>
      </c>
      <c r="G21" s="15" t="s">
        <v>662</v>
      </c>
      <c r="H21" s="9">
        <f>COUNTIF('Test Cases'!$J$2:$J$155,"*"&amp;A21&amp;"*")</f>
        <v>1</v>
      </c>
      <c r="I21" s="9">
        <f>COUNTIFS('Test Cases'!$J$2:$J$155,"*"&amp;A21&amp;"*",'Test Cases'!$N$2:$N$155,"Pass")</f>
        <v>0</v>
      </c>
      <c r="J21" s="9">
        <f>COUNTIFS('Test Cases'!$J$2:$J$155,"*"&amp;A21&amp;"*",'Test Cases'!$N$2:$N$155,"Fail")</f>
        <v>0</v>
      </c>
      <c r="K21" s="9">
        <f>COUNTIFS('Test Cases'!$J$2:$J$155,"*"&amp;A21&amp;"*",'Test Cases'!$N$2:$N$155,"Blocked")</f>
        <v>0</v>
      </c>
      <c r="L21" s="9">
        <f>COUNTIFS('Test Cases'!$J$2:$J$155,"*"&amp;A21&amp;"*",'Test Cases'!$N$2:$N$155,"N/A")</f>
        <v>0</v>
      </c>
      <c r="M21" s="9">
        <f>COUNTIFS('Test Cases'!$J$2:$J$155,"*"&amp;A21&amp;"*",'Test Cases'!$N$2:$N$155,"Not Run")</f>
        <v>1</v>
      </c>
      <c r="N21" s="10">
        <f t="shared" si="0"/>
        <v>0</v>
      </c>
      <c r="O21" s="9" t="str">
        <f t="shared" si="1"/>
        <v>Not run</v>
      </c>
    </row>
    <row r="22" spans="1:15" ht="22.8" x14ac:dyDescent="0.3">
      <c r="A22" s="11" t="s">
        <v>843</v>
      </c>
      <c r="B22" s="15" t="s">
        <v>834</v>
      </c>
      <c r="C22" s="9" t="s">
        <v>844</v>
      </c>
      <c r="D22" s="15" t="s">
        <v>845</v>
      </c>
      <c r="E22" s="9" t="s">
        <v>801</v>
      </c>
      <c r="F22" s="15" t="s">
        <v>846</v>
      </c>
      <c r="G22" s="15" t="s">
        <v>847</v>
      </c>
      <c r="H22" s="9">
        <f>COUNTIF('Test Cases'!$J$2:$J$155,"*"&amp;A22&amp;"*")</f>
        <v>2</v>
      </c>
      <c r="I22" s="9">
        <f>COUNTIFS('Test Cases'!$J$2:$J$155,"*"&amp;A22&amp;"*",'Test Cases'!$N$2:$N$155,"Pass")</f>
        <v>0</v>
      </c>
      <c r="J22" s="9">
        <f>COUNTIFS('Test Cases'!$J$2:$J$155,"*"&amp;A22&amp;"*",'Test Cases'!$N$2:$N$155,"Fail")</f>
        <v>0</v>
      </c>
      <c r="K22" s="9">
        <f>COUNTIFS('Test Cases'!$J$2:$J$155,"*"&amp;A22&amp;"*",'Test Cases'!$N$2:$N$155,"Blocked")</f>
        <v>0</v>
      </c>
      <c r="L22" s="9">
        <f>COUNTIFS('Test Cases'!$J$2:$J$155,"*"&amp;A22&amp;"*",'Test Cases'!$N$2:$N$155,"N/A")</f>
        <v>0</v>
      </c>
      <c r="M22" s="9">
        <f>COUNTIFS('Test Cases'!$J$2:$J$155,"*"&amp;A22&amp;"*",'Test Cases'!$N$2:$N$155,"Not Run")</f>
        <v>2</v>
      </c>
      <c r="N22" s="10">
        <f t="shared" si="0"/>
        <v>0</v>
      </c>
      <c r="O22" s="9" t="str">
        <f t="shared" si="1"/>
        <v>Not run</v>
      </c>
    </row>
    <row r="23" spans="1:15" ht="22.8" x14ac:dyDescent="0.3">
      <c r="A23" s="11" t="s">
        <v>102</v>
      </c>
      <c r="B23" s="15" t="s">
        <v>848</v>
      </c>
      <c r="C23" s="9" t="s">
        <v>849</v>
      </c>
      <c r="D23" s="15" t="s">
        <v>850</v>
      </c>
      <c r="E23" s="9" t="s">
        <v>851</v>
      </c>
      <c r="F23" s="15" t="s">
        <v>852</v>
      </c>
      <c r="G23" s="15" t="s">
        <v>95</v>
      </c>
      <c r="H23" s="9">
        <f>COUNTIF('Test Cases'!$J$2:$J$155,"*"&amp;A23&amp;"*")</f>
        <v>6</v>
      </c>
      <c r="I23" s="9">
        <f>COUNTIFS('Test Cases'!$J$2:$J$155,"*"&amp;A23&amp;"*",'Test Cases'!$N$2:$N$155,"Pass")</f>
        <v>0</v>
      </c>
      <c r="J23" s="9">
        <f>COUNTIFS('Test Cases'!$J$2:$J$155,"*"&amp;A23&amp;"*",'Test Cases'!$N$2:$N$155,"Fail")</f>
        <v>0</v>
      </c>
      <c r="K23" s="9">
        <f>COUNTIFS('Test Cases'!$J$2:$J$155,"*"&amp;A23&amp;"*",'Test Cases'!$N$2:$N$155,"Blocked")</f>
        <v>0</v>
      </c>
      <c r="L23" s="9">
        <f>COUNTIFS('Test Cases'!$J$2:$J$155,"*"&amp;A23&amp;"*",'Test Cases'!$N$2:$N$155,"N/A")</f>
        <v>0</v>
      </c>
      <c r="M23" s="9">
        <f>COUNTIFS('Test Cases'!$J$2:$J$155,"*"&amp;A23&amp;"*",'Test Cases'!$N$2:$N$155,"Not Run")</f>
        <v>6</v>
      </c>
      <c r="N23" s="10">
        <f t="shared" si="0"/>
        <v>0</v>
      </c>
      <c r="O23" s="9" t="str">
        <f t="shared" si="1"/>
        <v>Not run</v>
      </c>
    </row>
    <row r="24" spans="1:15" ht="22.8" x14ac:dyDescent="0.3">
      <c r="A24" s="11" t="s">
        <v>161</v>
      </c>
      <c r="B24" s="15" t="s">
        <v>848</v>
      </c>
      <c r="C24" s="9" t="s">
        <v>849</v>
      </c>
      <c r="D24" s="15" t="s">
        <v>853</v>
      </c>
      <c r="E24" s="9" t="s">
        <v>851</v>
      </c>
      <c r="F24" s="15" t="s">
        <v>854</v>
      </c>
      <c r="G24" s="15" t="s">
        <v>855</v>
      </c>
      <c r="H24" s="9">
        <f>COUNTIF('Test Cases'!$J$2:$J$155,"*"&amp;A24&amp;"*")</f>
        <v>6</v>
      </c>
      <c r="I24" s="9">
        <f>COUNTIFS('Test Cases'!$J$2:$J$155,"*"&amp;A24&amp;"*",'Test Cases'!$N$2:$N$155,"Pass")</f>
        <v>0</v>
      </c>
      <c r="J24" s="9">
        <f>COUNTIFS('Test Cases'!$J$2:$J$155,"*"&amp;A24&amp;"*",'Test Cases'!$N$2:$N$155,"Fail")</f>
        <v>0</v>
      </c>
      <c r="K24" s="9">
        <f>COUNTIFS('Test Cases'!$J$2:$J$155,"*"&amp;A24&amp;"*",'Test Cases'!$N$2:$N$155,"Blocked")</f>
        <v>0</v>
      </c>
      <c r="L24" s="9">
        <f>COUNTIFS('Test Cases'!$J$2:$J$155,"*"&amp;A24&amp;"*",'Test Cases'!$N$2:$N$155,"N/A")</f>
        <v>0</v>
      </c>
      <c r="M24" s="9">
        <f>COUNTIFS('Test Cases'!$J$2:$J$155,"*"&amp;A24&amp;"*",'Test Cases'!$N$2:$N$155,"Not Run")</f>
        <v>6</v>
      </c>
      <c r="N24" s="10">
        <f t="shared" si="0"/>
        <v>0</v>
      </c>
      <c r="O24" s="9" t="str">
        <f t="shared" si="1"/>
        <v>Not run</v>
      </c>
    </row>
    <row r="25" spans="1:15" x14ac:dyDescent="0.3">
      <c r="A25" s="11" t="s">
        <v>856</v>
      </c>
      <c r="B25" s="15" t="s">
        <v>848</v>
      </c>
      <c r="C25" s="9" t="s">
        <v>849</v>
      </c>
      <c r="D25" s="15" t="s">
        <v>857</v>
      </c>
      <c r="E25" s="9" t="s">
        <v>851</v>
      </c>
      <c r="F25" s="15" t="s">
        <v>764</v>
      </c>
      <c r="G25" s="15" t="s">
        <v>769</v>
      </c>
      <c r="H25" s="9">
        <f>COUNTIF('Test Cases'!$J$2:$J$155,"*"&amp;A25&amp;"*")</f>
        <v>1</v>
      </c>
      <c r="I25" s="9">
        <f>COUNTIFS('Test Cases'!$J$2:$J$155,"*"&amp;A25&amp;"*",'Test Cases'!$N$2:$N$155,"Pass")</f>
        <v>0</v>
      </c>
      <c r="J25" s="9">
        <f>COUNTIFS('Test Cases'!$J$2:$J$155,"*"&amp;A25&amp;"*",'Test Cases'!$N$2:$N$155,"Fail")</f>
        <v>0</v>
      </c>
      <c r="K25" s="9">
        <f>COUNTIFS('Test Cases'!$J$2:$J$155,"*"&amp;A25&amp;"*",'Test Cases'!$N$2:$N$155,"Blocked")</f>
        <v>0</v>
      </c>
      <c r="L25" s="9">
        <f>COUNTIFS('Test Cases'!$J$2:$J$155,"*"&amp;A25&amp;"*",'Test Cases'!$N$2:$N$155,"N/A")</f>
        <v>0</v>
      </c>
      <c r="M25" s="9">
        <f>COUNTIFS('Test Cases'!$J$2:$J$155,"*"&amp;A25&amp;"*",'Test Cases'!$N$2:$N$155,"Not Run")</f>
        <v>1</v>
      </c>
      <c r="N25" s="10">
        <f t="shared" si="0"/>
        <v>0</v>
      </c>
      <c r="O25" s="9" t="str">
        <f t="shared" si="1"/>
        <v>Not run</v>
      </c>
    </row>
    <row r="26" spans="1:15" x14ac:dyDescent="0.3">
      <c r="A26" s="11" t="s">
        <v>237</v>
      </c>
      <c r="B26" s="15" t="s">
        <v>858</v>
      </c>
      <c r="C26" s="9" t="s">
        <v>859</v>
      </c>
      <c r="D26" s="15" t="s">
        <v>860</v>
      </c>
      <c r="E26" s="9" t="s">
        <v>861</v>
      </c>
      <c r="F26" s="15" t="s">
        <v>862</v>
      </c>
      <c r="G26" s="15" t="s">
        <v>751</v>
      </c>
      <c r="H26" s="9">
        <f>COUNTIF('Test Cases'!$J$2:$J$155,"*"&amp;A26&amp;"*")</f>
        <v>6</v>
      </c>
      <c r="I26" s="9">
        <f>COUNTIFS('Test Cases'!$J$2:$J$155,"*"&amp;A26&amp;"*",'Test Cases'!$N$2:$N$155,"Pass")</f>
        <v>0</v>
      </c>
      <c r="J26" s="9">
        <f>COUNTIFS('Test Cases'!$J$2:$J$155,"*"&amp;A26&amp;"*",'Test Cases'!$N$2:$N$155,"Fail")</f>
        <v>0</v>
      </c>
      <c r="K26" s="9">
        <f>COUNTIFS('Test Cases'!$J$2:$J$155,"*"&amp;A26&amp;"*",'Test Cases'!$N$2:$N$155,"Blocked")</f>
        <v>0</v>
      </c>
      <c r="L26" s="9">
        <f>COUNTIFS('Test Cases'!$J$2:$J$155,"*"&amp;A26&amp;"*",'Test Cases'!$N$2:$N$155,"N/A")</f>
        <v>0</v>
      </c>
      <c r="M26" s="9">
        <f>COUNTIFS('Test Cases'!$J$2:$J$155,"*"&amp;A26&amp;"*",'Test Cases'!$N$2:$N$155,"Not Run")</f>
        <v>6</v>
      </c>
      <c r="N26" s="10">
        <f t="shared" si="0"/>
        <v>0</v>
      </c>
      <c r="O26" s="9" t="str">
        <f t="shared" si="1"/>
        <v>Not run</v>
      </c>
    </row>
    <row r="27" spans="1:15" x14ac:dyDescent="0.3">
      <c r="A27" s="11" t="s">
        <v>288</v>
      </c>
      <c r="B27" s="15" t="s">
        <v>858</v>
      </c>
      <c r="C27" s="9" t="s">
        <v>859</v>
      </c>
      <c r="D27" s="15" t="s">
        <v>863</v>
      </c>
      <c r="E27" s="9" t="s">
        <v>861</v>
      </c>
      <c r="F27" s="15" t="s">
        <v>864</v>
      </c>
      <c r="G27" s="15" t="s">
        <v>289</v>
      </c>
      <c r="H27" s="9">
        <f>COUNTIF('Test Cases'!$J$2:$J$155,"*"&amp;A27&amp;"*")</f>
        <v>4</v>
      </c>
      <c r="I27" s="9">
        <f>COUNTIFS('Test Cases'!$J$2:$J$155,"*"&amp;A27&amp;"*",'Test Cases'!$N$2:$N$155,"Pass")</f>
        <v>0</v>
      </c>
      <c r="J27" s="9">
        <f>COUNTIFS('Test Cases'!$J$2:$J$155,"*"&amp;A27&amp;"*",'Test Cases'!$N$2:$N$155,"Fail")</f>
        <v>0</v>
      </c>
      <c r="K27" s="9">
        <f>COUNTIFS('Test Cases'!$J$2:$J$155,"*"&amp;A27&amp;"*",'Test Cases'!$N$2:$N$155,"Blocked")</f>
        <v>0</v>
      </c>
      <c r="L27" s="9">
        <f>COUNTIFS('Test Cases'!$J$2:$J$155,"*"&amp;A27&amp;"*",'Test Cases'!$N$2:$N$155,"N/A")</f>
        <v>0</v>
      </c>
      <c r="M27" s="9">
        <f>COUNTIFS('Test Cases'!$J$2:$J$155,"*"&amp;A27&amp;"*",'Test Cases'!$N$2:$N$155,"Not Run")</f>
        <v>4</v>
      </c>
      <c r="N27" s="10">
        <f t="shared" si="0"/>
        <v>0</v>
      </c>
      <c r="O27" s="9" t="str">
        <f t="shared" si="1"/>
        <v>Not run</v>
      </c>
    </row>
    <row r="28" spans="1:15" ht="22.8" x14ac:dyDescent="0.3">
      <c r="A28" s="11" t="s">
        <v>454</v>
      </c>
      <c r="B28" s="15" t="s">
        <v>858</v>
      </c>
      <c r="C28" s="9" t="s">
        <v>859</v>
      </c>
      <c r="D28" s="15" t="s">
        <v>865</v>
      </c>
      <c r="E28" s="9" t="s">
        <v>861</v>
      </c>
      <c r="F28" s="15" t="s">
        <v>450</v>
      </c>
      <c r="G28" s="15" t="s">
        <v>455</v>
      </c>
      <c r="H28" s="9">
        <f>COUNTIF('Test Cases'!$J$2:$J$155,"*"&amp;A28&amp;"*")</f>
        <v>1</v>
      </c>
      <c r="I28" s="9">
        <f>COUNTIFS('Test Cases'!$J$2:$J$155,"*"&amp;A28&amp;"*",'Test Cases'!$N$2:$N$155,"Pass")</f>
        <v>0</v>
      </c>
      <c r="J28" s="9">
        <f>COUNTIFS('Test Cases'!$J$2:$J$155,"*"&amp;A28&amp;"*",'Test Cases'!$N$2:$N$155,"Fail")</f>
        <v>0</v>
      </c>
      <c r="K28" s="9">
        <f>COUNTIFS('Test Cases'!$J$2:$J$155,"*"&amp;A28&amp;"*",'Test Cases'!$N$2:$N$155,"Blocked")</f>
        <v>0</v>
      </c>
      <c r="L28" s="9">
        <f>COUNTIFS('Test Cases'!$J$2:$J$155,"*"&amp;A28&amp;"*",'Test Cases'!$N$2:$N$155,"N/A")</f>
        <v>0</v>
      </c>
      <c r="M28" s="9">
        <f>COUNTIFS('Test Cases'!$J$2:$J$155,"*"&amp;A28&amp;"*",'Test Cases'!$N$2:$N$155,"Not Run")</f>
        <v>1</v>
      </c>
      <c r="N28" s="10">
        <f t="shared" si="0"/>
        <v>0</v>
      </c>
      <c r="O28" s="9" t="str">
        <f t="shared" si="1"/>
        <v>Not run</v>
      </c>
    </row>
    <row r="29" spans="1:15" ht="22.8" x14ac:dyDescent="0.3">
      <c r="A29" s="11" t="s">
        <v>359</v>
      </c>
      <c r="B29" s="15" t="s">
        <v>858</v>
      </c>
      <c r="C29" s="9" t="s">
        <v>859</v>
      </c>
      <c r="D29" s="15" t="s">
        <v>866</v>
      </c>
      <c r="E29" s="9" t="s">
        <v>861</v>
      </c>
      <c r="F29" s="15" t="s">
        <v>867</v>
      </c>
      <c r="G29" s="15" t="s">
        <v>868</v>
      </c>
      <c r="H29" s="9">
        <f>COUNTIF('Test Cases'!$J$2:$J$155,"*"&amp;A29&amp;"*")</f>
        <v>2</v>
      </c>
      <c r="I29" s="9">
        <f>COUNTIFS('Test Cases'!$J$2:$J$155,"*"&amp;A29&amp;"*",'Test Cases'!$N$2:$N$155,"Pass")</f>
        <v>0</v>
      </c>
      <c r="J29" s="9">
        <f>COUNTIFS('Test Cases'!$J$2:$J$155,"*"&amp;A29&amp;"*",'Test Cases'!$N$2:$N$155,"Fail")</f>
        <v>0</v>
      </c>
      <c r="K29" s="9">
        <f>COUNTIFS('Test Cases'!$J$2:$J$155,"*"&amp;A29&amp;"*",'Test Cases'!$N$2:$N$155,"Blocked")</f>
        <v>0</v>
      </c>
      <c r="L29" s="9">
        <f>COUNTIFS('Test Cases'!$J$2:$J$155,"*"&amp;A29&amp;"*",'Test Cases'!$N$2:$N$155,"N/A")</f>
        <v>0</v>
      </c>
      <c r="M29" s="9">
        <f>COUNTIFS('Test Cases'!$J$2:$J$155,"*"&amp;A29&amp;"*",'Test Cases'!$N$2:$N$155,"Not Run")</f>
        <v>2</v>
      </c>
      <c r="N29" s="10">
        <f t="shared" si="0"/>
        <v>0</v>
      </c>
      <c r="O29" s="9" t="str">
        <f t="shared" si="1"/>
        <v>Not run</v>
      </c>
    </row>
    <row r="30" spans="1:15" x14ac:dyDescent="0.3">
      <c r="A30" s="11" t="s">
        <v>668</v>
      </c>
      <c r="B30" s="15" t="s">
        <v>47</v>
      </c>
      <c r="C30" s="9" t="s">
        <v>869</v>
      </c>
      <c r="D30" s="15" t="s">
        <v>870</v>
      </c>
      <c r="E30" s="9" t="s">
        <v>792</v>
      </c>
      <c r="F30" s="15" t="s">
        <v>663</v>
      </c>
      <c r="G30" s="15" t="s">
        <v>95</v>
      </c>
      <c r="H30" s="9">
        <f>COUNTIF('Test Cases'!$J$2:$J$155,"*"&amp;A30&amp;"*")</f>
        <v>1</v>
      </c>
      <c r="I30" s="9">
        <f>COUNTIFS('Test Cases'!$J$2:$J$155,"*"&amp;A30&amp;"*",'Test Cases'!$N$2:$N$155,"Pass")</f>
        <v>0</v>
      </c>
      <c r="J30" s="9">
        <f>COUNTIFS('Test Cases'!$J$2:$J$155,"*"&amp;A30&amp;"*",'Test Cases'!$N$2:$N$155,"Fail")</f>
        <v>0</v>
      </c>
      <c r="K30" s="9">
        <f>COUNTIFS('Test Cases'!$J$2:$J$155,"*"&amp;A30&amp;"*",'Test Cases'!$N$2:$N$155,"Blocked")</f>
        <v>0</v>
      </c>
      <c r="L30" s="9">
        <f>COUNTIFS('Test Cases'!$J$2:$J$155,"*"&amp;A30&amp;"*",'Test Cases'!$N$2:$N$155,"N/A")</f>
        <v>0</v>
      </c>
      <c r="M30" s="9">
        <f>COUNTIFS('Test Cases'!$J$2:$J$155,"*"&amp;A30&amp;"*",'Test Cases'!$N$2:$N$155,"Not Run")</f>
        <v>1</v>
      </c>
      <c r="N30" s="10">
        <f t="shared" si="0"/>
        <v>0</v>
      </c>
      <c r="O30" s="9" t="str">
        <f t="shared" si="1"/>
        <v>Not run</v>
      </c>
    </row>
    <row r="31" spans="1:15" ht="22.8" x14ac:dyDescent="0.3">
      <c r="A31" s="11" t="s">
        <v>674</v>
      </c>
      <c r="B31" s="15" t="s">
        <v>47</v>
      </c>
      <c r="C31" s="9" t="s">
        <v>869</v>
      </c>
      <c r="D31" s="15" t="s">
        <v>871</v>
      </c>
      <c r="E31" s="9" t="s">
        <v>792</v>
      </c>
      <c r="F31" s="15" t="s">
        <v>669</v>
      </c>
      <c r="G31" s="15" t="s">
        <v>95</v>
      </c>
      <c r="H31" s="9">
        <f>COUNTIF('Test Cases'!$J$2:$J$155,"*"&amp;A31&amp;"*")</f>
        <v>1</v>
      </c>
      <c r="I31" s="9">
        <f>COUNTIFS('Test Cases'!$J$2:$J$155,"*"&amp;A31&amp;"*",'Test Cases'!$N$2:$N$155,"Pass")</f>
        <v>0</v>
      </c>
      <c r="J31" s="9">
        <f>COUNTIFS('Test Cases'!$J$2:$J$155,"*"&amp;A31&amp;"*",'Test Cases'!$N$2:$N$155,"Fail")</f>
        <v>0</v>
      </c>
      <c r="K31" s="9">
        <f>COUNTIFS('Test Cases'!$J$2:$J$155,"*"&amp;A31&amp;"*",'Test Cases'!$N$2:$N$155,"Blocked")</f>
        <v>0</v>
      </c>
      <c r="L31" s="9">
        <f>COUNTIFS('Test Cases'!$J$2:$J$155,"*"&amp;A31&amp;"*",'Test Cases'!$N$2:$N$155,"N/A")</f>
        <v>0</v>
      </c>
      <c r="M31" s="9">
        <f>COUNTIFS('Test Cases'!$J$2:$J$155,"*"&amp;A31&amp;"*",'Test Cases'!$N$2:$N$155,"Not Run")</f>
        <v>1</v>
      </c>
      <c r="N31" s="10">
        <f t="shared" si="0"/>
        <v>0</v>
      </c>
      <c r="O31" s="9" t="str">
        <f t="shared" si="1"/>
        <v>Not run</v>
      </c>
    </row>
    <row r="32" spans="1:15" x14ac:dyDescent="0.3">
      <c r="A32" s="11" t="s">
        <v>273</v>
      </c>
      <c r="B32" s="15" t="s">
        <v>47</v>
      </c>
      <c r="C32" s="9" t="s">
        <v>872</v>
      </c>
      <c r="D32" s="15" t="s">
        <v>873</v>
      </c>
      <c r="E32" s="9" t="s">
        <v>792</v>
      </c>
      <c r="F32" s="15" t="s">
        <v>269</v>
      </c>
      <c r="G32" s="15" t="s">
        <v>95</v>
      </c>
      <c r="H32" s="9">
        <f>COUNTIF('Test Cases'!$J$2:$J$155,"*"&amp;A32&amp;"*")</f>
        <v>1</v>
      </c>
      <c r="I32" s="9">
        <f>COUNTIFS('Test Cases'!$J$2:$J$155,"*"&amp;A32&amp;"*",'Test Cases'!$N$2:$N$155,"Pass")</f>
        <v>0</v>
      </c>
      <c r="J32" s="9">
        <f>COUNTIFS('Test Cases'!$J$2:$J$155,"*"&amp;A32&amp;"*",'Test Cases'!$N$2:$N$155,"Fail")</f>
        <v>0</v>
      </c>
      <c r="K32" s="9">
        <f>COUNTIFS('Test Cases'!$J$2:$J$155,"*"&amp;A32&amp;"*",'Test Cases'!$N$2:$N$155,"Blocked")</f>
        <v>0</v>
      </c>
      <c r="L32" s="9">
        <f>COUNTIFS('Test Cases'!$J$2:$J$155,"*"&amp;A32&amp;"*",'Test Cases'!$N$2:$N$155,"N/A")</f>
        <v>0</v>
      </c>
      <c r="M32" s="9">
        <f>COUNTIFS('Test Cases'!$J$2:$J$155,"*"&amp;A32&amp;"*",'Test Cases'!$N$2:$N$155,"Not Run")</f>
        <v>1</v>
      </c>
      <c r="N32" s="10">
        <f t="shared" si="0"/>
        <v>0</v>
      </c>
      <c r="O32" s="9" t="str">
        <f t="shared" si="1"/>
        <v>Not run</v>
      </c>
    </row>
    <row r="33" spans="1:15" ht="22.8" x14ac:dyDescent="0.3">
      <c r="A33" s="11" t="s">
        <v>345</v>
      </c>
      <c r="B33" s="15" t="s">
        <v>47</v>
      </c>
      <c r="C33" s="9" t="s">
        <v>186</v>
      </c>
      <c r="D33" s="15" t="s">
        <v>874</v>
      </c>
      <c r="E33" s="9" t="s">
        <v>792</v>
      </c>
      <c r="F33" s="15" t="s">
        <v>341</v>
      </c>
      <c r="G33" s="15" t="s">
        <v>346</v>
      </c>
      <c r="H33" s="9">
        <f>COUNTIF('Test Cases'!$J$2:$J$155,"*"&amp;A33&amp;"*")</f>
        <v>1</v>
      </c>
      <c r="I33" s="9">
        <f>COUNTIFS('Test Cases'!$J$2:$J$155,"*"&amp;A33&amp;"*",'Test Cases'!$N$2:$N$155,"Pass")</f>
        <v>0</v>
      </c>
      <c r="J33" s="9">
        <f>COUNTIFS('Test Cases'!$J$2:$J$155,"*"&amp;A33&amp;"*",'Test Cases'!$N$2:$N$155,"Fail")</f>
        <v>0</v>
      </c>
      <c r="K33" s="9">
        <f>COUNTIFS('Test Cases'!$J$2:$J$155,"*"&amp;A33&amp;"*",'Test Cases'!$N$2:$N$155,"Blocked")</f>
        <v>0</v>
      </c>
      <c r="L33" s="9">
        <f>COUNTIFS('Test Cases'!$J$2:$J$155,"*"&amp;A33&amp;"*",'Test Cases'!$N$2:$N$155,"N/A")</f>
        <v>0</v>
      </c>
      <c r="M33" s="9">
        <f>COUNTIFS('Test Cases'!$J$2:$J$155,"*"&amp;A33&amp;"*",'Test Cases'!$N$2:$N$155,"Not Run")</f>
        <v>1</v>
      </c>
      <c r="N33" s="10">
        <f t="shared" si="0"/>
        <v>0</v>
      </c>
      <c r="O33" s="9" t="str">
        <f t="shared" si="1"/>
        <v>Not run</v>
      </c>
    </row>
    <row r="34" spans="1:15" ht="34.200000000000003" x14ac:dyDescent="0.3">
      <c r="A34" s="11" t="s">
        <v>187</v>
      </c>
      <c r="B34" s="15" t="s">
        <v>47</v>
      </c>
      <c r="C34" s="9" t="s">
        <v>186</v>
      </c>
      <c r="D34" s="15" t="s">
        <v>875</v>
      </c>
      <c r="E34" s="9" t="s">
        <v>792</v>
      </c>
      <c r="F34" s="15" t="s">
        <v>876</v>
      </c>
      <c r="G34" s="15" t="s">
        <v>877</v>
      </c>
      <c r="H34" s="9">
        <f>COUNTIF('Test Cases'!$J$2:$J$155,"*"&amp;A34&amp;"*")</f>
        <v>15</v>
      </c>
      <c r="I34" s="9">
        <f>COUNTIFS('Test Cases'!$J$2:$J$155,"*"&amp;A34&amp;"*",'Test Cases'!$N$2:$N$155,"Pass")</f>
        <v>0</v>
      </c>
      <c r="J34" s="9">
        <f>COUNTIFS('Test Cases'!$J$2:$J$155,"*"&amp;A34&amp;"*",'Test Cases'!$N$2:$N$155,"Fail")</f>
        <v>0</v>
      </c>
      <c r="K34" s="9">
        <f>COUNTIFS('Test Cases'!$J$2:$J$155,"*"&amp;A34&amp;"*",'Test Cases'!$N$2:$N$155,"Blocked")</f>
        <v>0</v>
      </c>
      <c r="L34" s="9">
        <f>COUNTIFS('Test Cases'!$J$2:$J$155,"*"&amp;A34&amp;"*",'Test Cases'!$N$2:$N$155,"N/A")</f>
        <v>0</v>
      </c>
      <c r="M34" s="9">
        <f>COUNTIFS('Test Cases'!$J$2:$J$155,"*"&amp;A34&amp;"*",'Test Cases'!$N$2:$N$155,"Not Run")</f>
        <v>15</v>
      </c>
      <c r="N34" s="10">
        <f t="shared" si="0"/>
        <v>0</v>
      </c>
      <c r="O34" s="9" t="str">
        <f t="shared" si="1"/>
        <v>Not run</v>
      </c>
    </row>
    <row r="35" spans="1:15" x14ac:dyDescent="0.3">
      <c r="A35" s="11" t="s">
        <v>283</v>
      </c>
      <c r="B35" s="15" t="s">
        <v>47</v>
      </c>
      <c r="C35" s="9" t="s">
        <v>299</v>
      </c>
      <c r="D35" s="15" t="s">
        <v>878</v>
      </c>
      <c r="E35" s="9" t="s">
        <v>792</v>
      </c>
      <c r="F35" s="15" t="s">
        <v>879</v>
      </c>
      <c r="G35" s="15" t="s">
        <v>95</v>
      </c>
      <c r="H35" s="9">
        <f>COUNTIF('Test Cases'!$J$2:$J$155,"*"&amp;A35&amp;"*")</f>
        <v>4</v>
      </c>
      <c r="I35" s="9">
        <f>COUNTIFS('Test Cases'!$J$2:$J$155,"*"&amp;A35&amp;"*",'Test Cases'!$N$2:$N$155,"Pass")</f>
        <v>0</v>
      </c>
      <c r="J35" s="9">
        <f>COUNTIFS('Test Cases'!$J$2:$J$155,"*"&amp;A35&amp;"*",'Test Cases'!$N$2:$N$155,"Fail")</f>
        <v>0</v>
      </c>
      <c r="K35" s="9">
        <f>COUNTIFS('Test Cases'!$J$2:$J$155,"*"&amp;A35&amp;"*",'Test Cases'!$N$2:$N$155,"Blocked")</f>
        <v>0</v>
      </c>
      <c r="L35" s="9">
        <f>COUNTIFS('Test Cases'!$J$2:$J$155,"*"&amp;A35&amp;"*",'Test Cases'!$N$2:$N$155,"N/A")</f>
        <v>0</v>
      </c>
      <c r="M35" s="9">
        <f>COUNTIFS('Test Cases'!$J$2:$J$155,"*"&amp;A35&amp;"*",'Test Cases'!$N$2:$N$155,"Not Run")</f>
        <v>4</v>
      </c>
      <c r="N35" s="10">
        <f t="shared" si="0"/>
        <v>0</v>
      </c>
      <c r="O35" s="9" t="str">
        <f t="shared" si="1"/>
        <v>Not run</v>
      </c>
    </row>
    <row r="36" spans="1:15" ht="22.8" x14ac:dyDescent="0.3">
      <c r="A36" s="11" t="s">
        <v>880</v>
      </c>
      <c r="B36" s="15" t="s">
        <v>881</v>
      </c>
      <c r="C36" s="9" t="s">
        <v>882</v>
      </c>
      <c r="D36" s="15" t="s">
        <v>883</v>
      </c>
      <c r="E36" s="9" t="s">
        <v>884</v>
      </c>
      <c r="F36" s="15" t="s">
        <v>885</v>
      </c>
      <c r="G36" s="15" t="s">
        <v>886</v>
      </c>
      <c r="H36" s="9">
        <f>COUNTIF('Test Cases'!$J$2:$J$155,"*"&amp;A36&amp;"*")</f>
        <v>3</v>
      </c>
      <c r="I36" s="9">
        <f>COUNTIFS('Test Cases'!$J$2:$J$155,"*"&amp;A36&amp;"*",'Test Cases'!$N$2:$N$155,"Pass")</f>
        <v>0</v>
      </c>
      <c r="J36" s="9">
        <f>COUNTIFS('Test Cases'!$J$2:$J$155,"*"&amp;A36&amp;"*",'Test Cases'!$N$2:$N$155,"Fail")</f>
        <v>0</v>
      </c>
      <c r="K36" s="9">
        <f>COUNTIFS('Test Cases'!$J$2:$J$155,"*"&amp;A36&amp;"*",'Test Cases'!$N$2:$N$155,"Blocked")</f>
        <v>0</v>
      </c>
      <c r="L36" s="9">
        <f>COUNTIFS('Test Cases'!$J$2:$J$155,"*"&amp;A36&amp;"*",'Test Cases'!$N$2:$N$155,"N/A")</f>
        <v>0</v>
      </c>
      <c r="M36" s="9">
        <f>COUNTIFS('Test Cases'!$J$2:$J$155,"*"&amp;A36&amp;"*",'Test Cases'!$N$2:$N$155,"Not Run")</f>
        <v>3</v>
      </c>
      <c r="N36" s="10">
        <f t="shared" si="0"/>
        <v>0</v>
      </c>
      <c r="O36" s="9" t="str">
        <f t="shared" si="1"/>
        <v>Not run</v>
      </c>
    </row>
    <row r="37" spans="1:15" ht="22.8" x14ac:dyDescent="0.3">
      <c r="A37" s="11" t="s">
        <v>887</v>
      </c>
      <c r="B37" s="15" t="s">
        <v>881</v>
      </c>
      <c r="C37" s="9" t="s">
        <v>888</v>
      </c>
      <c r="D37" s="15" t="s">
        <v>889</v>
      </c>
      <c r="E37" s="9" t="s">
        <v>884</v>
      </c>
      <c r="F37" s="15" t="s">
        <v>329</v>
      </c>
      <c r="G37" s="15" t="s">
        <v>890</v>
      </c>
      <c r="H37" s="9">
        <f>COUNTIF('Test Cases'!$J$2:$J$155,"*"&amp;A37&amp;"*")</f>
        <v>1</v>
      </c>
      <c r="I37" s="9">
        <f>COUNTIFS('Test Cases'!$J$2:$J$155,"*"&amp;A37&amp;"*",'Test Cases'!$N$2:$N$155,"Pass")</f>
        <v>0</v>
      </c>
      <c r="J37" s="9">
        <f>COUNTIFS('Test Cases'!$J$2:$J$155,"*"&amp;A37&amp;"*",'Test Cases'!$N$2:$N$155,"Fail")</f>
        <v>0</v>
      </c>
      <c r="K37" s="9">
        <f>COUNTIFS('Test Cases'!$J$2:$J$155,"*"&amp;A37&amp;"*",'Test Cases'!$N$2:$N$155,"Blocked")</f>
        <v>0</v>
      </c>
      <c r="L37" s="9">
        <f>COUNTIFS('Test Cases'!$J$2:$J$155,"*"&amp;A37&amp;"*",'Test Cases'!$N$2:$N$155,"N/A")</f>
        <v>0</v>
      </c>
      <c r="M37" s="9">
        <f>COUNTIFS('Test Cases'!$J$2:$J$155,"*"&amp;A37&amp;"*",'Test Cases'!$N$2:$N$155,"Not Run")</f>
        <v>1</v>
      </c>
      <c r="N37" s="10">
        <f t="shared" si="0"/>
        <v>0</v>
      </c>
      <c r="O37" s="9" t="str">
        <f t="shared" si="1"/>
        <v>Not run</v>
      </c>
    </row>
    <row r="38" spans="1:15" x14ac:dyDescent="0.3">
      <c r="A38" s="11" t="s">
        <v>891</v>
      </c>
      <c r="B38" s="15" t="s">
        <v>881</v>
      </c>
      <c r="C38" s="9" t="s">
        <v>892</v>
      </c>
      <c r="D38" s="15" t="s">
        <v>893</v>
      </c>
      <c r="E38" s="9" t="s">
        <v>884</v>
      </c>
      <c r="F38" s="15" t="s">
        <v>894</v>
      </c>
      <c r="G38" s="15" t="s">
        <v>509</v>
      </c>
      <c r="H38" s="9">
        <f>COUNTIF('Test Cases'!$J$2:$J$155,"*"&amp;A38&amp;"*")</f>
        <v>2</v>
      </c>
      <c r="I38" s="9">
        <f>COUNTIFS('Test Cases'!$J$2:$J$155,"*"&amp;A38&amp;"*",'Test Cases'!$N$2:$N$155,"Pass")</f>
        <v>0</v>
      </c>
      <c r="J38" s="9">
        <f>COUNTIFS('Test Cases'!$J$2:$J$155,"*"&amp;A38&amp;"*",'Test Cases'!$N$2:$N$155,"Fail")</f>
        <v>0</v>
      </c>
      <c r="K38" s="9">
        <f>COUNTIFS('Test Cases'!$J$2:$J$155,"*"&amp;A38&amp;"*",'Test Cases'!$N$2:$N$155,"Blocked")</f>
        <v>0</v>
      </c>
      <c r="L38" s="9">
        <f>COUNTIFS('Test Cases'!$J$2:$J$155,"*"&amp;A38&amp;"*",'Test Cases'!$N$2:$N$155,"N/A")</f>
        <v>0</v>
      </c>
      <c r="M38" s="9">
        <f>COUNTIFS('Test Cases'!$J$2:$J$155,"*"&amp;A38&amp;"*",'Test Cases'!$N$2:$N$155,"Not Run")</f>
        <v>2</v>
      </c>
      <c r="N38" s="10">
        <f t="shared" si="0"/>
        <v>0</v>
      </c>
      <c r="O38" s="9" t="str">
        <f t="shared" si="1"/>
        <v>Not run</v>
      </c>
    </row>
    <row r="39" spans="1:15" ht="22.8" x14ac:dyDescent="0.3">
      <c r="A39" s="11" t="s">
        <v>895</v>
      </c>
      <c r="B39" s="15" t="s">
        <v>896</v>
      </c>
      <c r="C39" s="9" t="s">
        <v>897</v>
      </c>
      <c r="D39" s="15" t="s">
        <v>898</v>
      </c>
      <c r="E39" s="9" t="s">
        <v>899</v>
      </c>
      <c r="F39" s="15" t="s">
        <v>900</v>
      </c>
      <c r="G39" s="15" t="s">
        <v>775</v>
      </c>
      <c r="H39" s="9">
        <f>COUNTIF('Test Cases'!$J$2:$J$155,"*"&amp;A39&amp;"*")</f>
        <v>2</v>
      </c>
      <c r="I39" s="9">
        <f>COUNTIFS('Test Cases'!$J$2:$J$155,"*"&amp;A39&amp;"*",'Test Cases'!$N$2:$N$155,"Pass")</f>
        <v>0</v>
      </c>
      <c r="J39" s="9">
        <f>COUNTIFS('Test Cases'!$J$2:$J$155,"*"&amp;A39&amp;"*",'Test Cases'!$N$2:$N$155,"Fail")</f>
        <v>0</v>
      </c>
      <c r="K39" s="9">
        <f>COUNTIFS('Test Cases'!$J$2:$J$155,"*"&amp;A39&amp;"*",'Test Cases'!$N$2:$N$155,"Blocked")</f>
        <v>0</v>
      </c>
      <c r="L39" s="9">
        <f>COUNTIFS('Test Cases'!$J$2:$J$155,"*"&amp;A39&amp;"*",'Test Cases'!$N$2:$N$155,"N/A")</f>
        <v>0</v>
      </c>
      <c r="M39" s="9">
        <f>COUNTIFS('Test Cases'!$J$2:$J$155,"*"&amp;A39&amp;"*",'Test Cases'!$N$2:$N$155,"Not Run")</f>
        <v>2</v>
      </c>
      <c r="N39" s="10">
        <f t="shared" si="0"/>
        <v>0</v>
      </c>
      <c r="O39" s="9" t="str">
        <f t="shared" si="1"/>
        <v>Not run</v>
      </c>
    </row>
    <row r="40" spans="1:15" ht="22.8" x14ac:dyDescent="0.3">
      <c r="A40" s="11" t="s">
        <v>901</v>
      </c>
      <c r="B40" s="15" t="s">
        <v>902</v>
      </c>
      <c r="C40" s="9" t="s">
        <v>903</v>
      </c>
      <c r="D40" s="15" t="s">
        <v>904</v>
      </c>
      <c r="E40" s="9" t="s">
        <v>905</v>
      </c>
      <c r="F40" s="15" t="s">
        <v>736</v>
      </c>
      <c r="G40" s="15" t="s">
        <v>741</v>
      </c>
      <c r="H40" s="9">
        <f>COUNTIF('Test Cases'!$J$2:$J$155,"*"&amp;A40&amp;"*")</f>
        <v>1</v>
      </c>
      <c r="I40" s="9">
        <f>COUNTIFS('Test Cases'!$J$2:$J$155,"*"&amp;A40&amp;"*",'Test Cases'!$N$2:$N$155,"Pass")</f>
        <v>0</v>
      </c>
      <c r="J40" s="9">
        <f>COUNTIFS('Test Cases'!$J$2:$J$155,"*"&amp;A40&amp;"*",'Test Cases'!$N$2:$N$155,"Fail")</f>
        <v>0</v>
      </c>
      <c r="K40" s="9">
        <f>COUNTIFS('Test Cases'!$J$2:$J$155,"*"&amp;A40&amp;"*",'Test Cases'!$N$2:$N$155,"Blocked")</f>
        <v>0</v>
      </c>
      <c r="L40" s="9">
        <f>COUNTIFS('Test Cases'!$J$2:$J$155,"*"&amp;A40&amp;"*",'Test Cases'!$N$2:$N$155,"N/A")</f>
        <v>0</v>
      </c>
      <c r="M40" s="9">
        <f>COUNTIFS('Test Cases'!$J$2:$J$155,"*"&amp;A40&amp;"*",'Test Cases'!$N$2:$N$155,"Not Run")</f>
        <v>1</v>
      </c>
      <c r="N40" s="10">
        <f t="shared" si="0"/>
        <v>0</v>
      </c>
      <c r="O40" s="9" t="str">
        <f t="shared" si="1"/>
        <v>Not run</v>
      </c>
    </row>
    <row r="41" spans="1:15" ht="79.8" x14ac:dyDescent="0.3">
      <c r="A41" s="11" t="s">
        <v>125</v>
      </c>
      <c r="B41" s="15" t="s">
        <v>906</v>
      </c>
      <c r="C41" s="9" t="s">
        <v>95</v>
      </c>
      <c r="D41" s="15" t="s">
        <v>907</v>
      </c>
      <c r="E41" s="9" t="s">
        <v>95</v>
      </c>
      <c r="F41" s="15" t="s">
        <v>908</v>
      </c>
      <c r="G41" s="15" t="s">
        <v>909</v>
      </c>
      <c r="H41" s="9">
        <f>COUNTIF('Test Cases'!$J$2:$J$155,"*"&amp;A41&amp;"*")</f>
        <v>36</v>
      </c>
      <c r="I41" s="9">
        <f>COUNTIFS('Test Cases'!$J$2:$J$155,"*"&amp;A41&amp;"*",'Test Cases'!$N$2:$N$155,"Pass")</f>
        <v>0</v>
      </c>
      <c r="J41" s="9">
        <f>COUNTIFS('Test Cases'!$J$2:$J$155,"*"&amp;A41&amp;"*",'Test Cases'!$N$2:$N$155,"Fail")</f>
        <v>0</v>
      </c>
      <c r="K41" s="9">
        <f>COUNTIFS('Test Cases'!$J$2:$J$155,"*"&amp;A41&amp;"*",'Test Cases'!$N$2:$N$155,"Blocked")</f>
        <v>0</v>
      </c>
      <c r="L41" s="9">
        <f>COUNTIFS('Test Cases'!$J$2:$J$155,"*"&amp;A41&amp;"*",'Test Cases'!$N$2:$N$155,"N/A")</f>
        <v>0</v>
      </c>
      <c r="M41" s="9">
        <f>COUNTIFS('Test Cases'!$J$2:$J$155,"*"&amp;A41&amp;"*",'Test Cases'!$N$2:$N$155,"Not Run")</f>
        <v>36</v>
      </c>
      <c r="N41" s="10">
        <f t="shared" si="0"/>
        <v>0</v>
      </c>
      <c r="O41" s="9" t="str">
        <f t="shared" si="1"/>
        <v>Not run</v>
      </c>
    </row>
    <row r="43" spans="1:15" x14ac:dyDescent="0.3">
      <c r="A43" s="19" t="s">
        <v>910</v>
      </c>
      <c r="B43" s="20"/>
      <c r="C43" s="20"/>
      <c r="D43" s="20"/>
      <c r="E43" s="20"/>
      <c r="F43" s="20"/>
      <c r="G43" s="20"/>
      <c r="H43" s="20"/>
      <c r="I43" s="20"/>
      <c r="J43" s="20"/>
    </row>
  </sheetData>
  <autoFilter ref="A1:O41" xr:uid="{00000000-0009-0000-0000-000003000000}"/>
  <mergeCells count="1">
    <mergeCell ref="A43:J43"/>
  </mergeCells>
  <conditionalFormatting sqref="O2:O41">
    <cfRule type="cellIs" dxfId="3" priority="1" operator="equal">
      <formula>"Pass"</formula>
    </cfRule>
    <cfRule type="cellIs" dxfId="2" priority="2" operator="equal">
      <formula>"Fail"</formula>
    </cfRule>
    <cfRule type="cellIs" dxfId="1" priority="3" operator="equal">
      <formula>"In progress"</formula>
    </cfRule>
    <cfRule type="cellIs" dxfId="0" priority="4" operator="equal">
      <formula>"No coverage"</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34"/>
  <sheetViews>
    <sheetView workbookViewId="0">
      <pane xSplit="1" ySplit="1" topLeftCell="B2" activePane="bottomRight" state="frozen"/>
      <selection pane="topRight"/>
      <selection pane="bottomLeft"/>
      <selection pane="bottomRight"/>
    </sheetView>
  </sheetViews>
  <sheetFormatPr defaultRowHeight="14.4" x14ac:dyDescent="0.3"/>
  <cols>
    <col min="1" max="1" width="10" customWidth="1"/>
    <col min="2" max="2" width="9" customWidth="1"/>
    <col min="3" max="3" width="55" customWidth="1"/>
    <col min="4" max="4" width="34" customWidth="1"/>
    <col min="5" max="5" width="22" customWidth="1"/>
    <col min="6" max="7" width="18" customWidth="1"/>
    <col min="8" max="8" width="9" customWidth="1"/>
    <col min="9" max="9" width="12" customWidth="1"/>
    <col min="10" max="10" width="14" customWidth="1"/>
    <col min="11" max="11" width="12" customWidth="1"/>
    <col min="12" max="12" width="30" customWidth="1"/>
  </cols>
  <sheetData>
    <row r="1" spans="1:12" ht="31.95" customHeight="1" x14ac:dyDescent="0.3">
      <c r="A1" s="14" t="s">
        <v>911</v>
      </c>
      <c r="B1" s="14" t="s">
        <v>912</v>
      </c>
      <c r="C1" s="14" t="s">
        <v>913</v>
      </c>
      <c r="D1" s="14" t="s">
        <v>914</v>
      </c>
      <c r="E1" s="14" t="s">
        <v>79</v>
      </c>
      <c r="F1" s="14" t="s">
        <v>20</v>
      </c>
      <c r="G1" s="14" t="s">
        <v>785</v>
      </c>
      <c r="H1" s="14" t="s">
        <v>915</v>
      </c>
      <c r="I1" s="14" t="s">
        <v>67</v>
      </c>
      <c r="J1" s="14" t="s">
        <v>916</v>
      </c>
      <c r="K1" s="14" t="s">
        <v>917</v>
      </c>
      <c r="L1" s="14" t="s">
        <v>918</v>
      </c>
    </row>
    <row r="2" spans="1:12" ht="34.200000000000003" x14ac:dyDescent="0.3">
      <c r="A2" s="11" t="s">
        <v>392</v>
      </c>
      <c r="B2" s="9" t="s">
        <v>52</v>
      </c>
      <c r="C2" s="15" t="s">
        <v>919</v>
      </c>
      <c r="D2" s="15" t="s">
        <v>920</v>
      </c>
      <c r="E2" s="15" t="s">
        <v>426</v>
      </c>
      <c r="F2" s="15" t="s">
        <v>426</v>
      </c>
      <c r="G2" s="15" t="s">
        <v>921</v>
      </c>
      <c r="H2" s="9">
        <f>COUNTIFS('Test Cases'!$P$2:$P$155,"*"&amp;A2&amp;"*",'Test Cases'!$N$2:$N$155,"Fail")</f>
        <v>0</v>
      </c>
      <c r="I2" s="16" t="s">
        <v>68</v>
      </c>
      <c r="J2" s="17"/>
      <c r="K2" s="18"/>
      <c r="L2" s="17"/>
    </row>
    <row r="3" spans="1:12" ht="34.200000000000003" x14ac:dyDescent="0.3">
      <c r="A3" s="11" t="s">
        <v>397</v>
      </c>
      <c r="B3" s="9" t="s">
        <v>52</v>
      </c>
      <c r="C3" s="15" t="s">
        <v>922</v>
      </c>
      <c r="D3" s="15" t="s">
        <v>923</v>
      </c>
      <c r="E3" s="15" t="s">
        <v>133</v>
      </c>
      <c r="F3" s="15" t="s">
        <v>133</v>
      </c>
      <c r="G3" s="15" t="s">
        <v>393</v>
      </c>
      <c r="H3" s="9">
        <f>COUNTIFS('Test Cases'!$P$2:$P$155,"*"&amp;A3&amp;"*",'Test Cases'!$N$2:$N$155,"Fail")</f>
        <v>0</v>
      </c>
      <c r="I3" s="16" t="s">
        <v>68</v>
      </c>
      <c r="J3" s="17"/>
      <c r="K3" s="18"/>
      <c r="L3" s="17"/>
    </row>
    <row r="4" spans="1:12" ht="22.8" x14ac:dyDescent="0.3">
      <c r="A4" s="11" t="s">
        <v>289</v>
      </c>
      <c r="B4" s="9" t="s">
        <v>52</v>
      </c>
      <c r="C4" s="15" t="s">
        <v>924</v>
      </c>
      <c r="D4" s="15" t="s">
        <v>925</v>
      </c>
      <c r="E4" s="15" t="s">
        <v>287</v>
      </c>
      <c r="F4" s="15" t="s">
        <v>288</v>
      </c>
      <c r="G4" s="15" t="s">
        <v>926</v>
      </c>
      <c r="H4" s="9">
        <f>COUNTIFS('Test Cases'!$P$2:$P$155,"*"&amp;A4&amp;"*",'Test Cases'!$N$2:$N$155,"Fail")</f>
        <v>0</v>
      </c>
      <c r="I4" s="16" t="s">
        <v>68</v>
      </c>
      <c r="J4" s="17"/>
      <c r="K4" s="18"/>
      <c r="L4" s="17"/>
    </row>
    <row r="5" spans="1:12" ht="34.200000000000003" x14ac:dyDescent="0.3">
      <c r="A5" s="11" t="s">
        <v>402</v>
      </c>
      <c r="B5" s="9" t="s">
        <v>52</v>
      </c>
      <c r="C5" s="15" t="s">
        <v>927</v>
      </c>
      <c r="D5" s="15" t="s">
        <v>928</v>
      </c>
      <c r="E5" s="15" t="s">
        <v>929</v>
      </c>
      <c r="F5" s="15" t="s">
        <v>929</v>
      </c>
      <c r="G5" s="15" t="s">
        <v>930</v>
      </c>
      <c r="H5" s="9">
        <f>COUNTIFS('Test Cases'!$P$2:$P$155,"*"&amp;A5&amp;"*",'Test Cases'!$N$2:$N$155,"Fail")</f>
        <v>0</v>
      </c>
      <c r="I5" s="16" t="s">
        <v>68</v>
      </c>
      <c r="J5" s="17"/>
      <c r="K5" s="18"/>
      <c r="L5" s="17"/>
    </row>
    <row r="6" spans="1:12" ht="22.8" x14ac:dyDescent="0.3">
      <c r="A6" s="11" t="s">
        <v>816</v>
      </c>
      <c r="B6" s="9" t="s">
        <v>52</v>
      </c>
      <c r="C6" s="15" t="s">
        <v>931</v>
      </c>
      <c r="D6" s="15" t="s">
        <v>932</v>
      </c>
      <c r="E6" s="15" t="s">
        <v>814</v>
      </c>
      <c r="F6" s="15" t="s">
        <v>814</v>
      </c>
      <c r="G6" s="15" t="s">
        <v>318</v>
      </c>
      <c r="H6" s="9">
        <f>COUNTIFS('Test Cases'!$P$2:$P$155,"*"&amp;A6&amp;"*",'Test Cases'!$N$2:$N$155,"Fail")</f>
        <v>0</v>
      </c>
      <c r="I6" s="16" t="s">
        <v>68</v>
      </c>
      <c r="J6" s="17"/>
      <c r="K6" s="18"/>
      <c r="L6" s="17"/>
    </row>
    <row r="7" spans="1:12" x14ac:dyDescent="0.3">
      <c r="A7" s="11" t="s">
        <v>335</v>
      </c>
      <c r="B7" s="9" t="s">
        <v>52</v>
      </c>
      <c r="C7" s="15" t="s">
        <v>933</v>
      </c>
      <c r="D7" s="15" t="s">
        <v>934</v>
      </c>
      <c r="E7" s="15" t="s">
        <v>935</v>
      </c>
      <c r="F7" s="15" t="s">
        <v>334</v>
      </c>
      <c r="G7" s="15" t="s">
        <v>329</v>
      </c>
      <c r="H7" s="9">
        <f>COUNTIFS('Test Cases'!$P$2:$P$155,"*"&amp;A7&amp;"*",'Test Cases'!$N$2:$N$155,"Fail")</f>
        <v>0</v>
      </c>
      <c r="I7" s="16" t="s">
        <v>68</v>
      </c>
      <c r="J7" s="17"/>
      <c r="K7" s="18"/>
      <c r="L7" s="17"/>
    </row>
    <row r="8" spans="1:12" ht="45.6" x14ac:dyDescent="0.3">
      <c r="A8" s="11" t="s">
        <v>149</v>
      </c>
      <c r="B8" s="9" t="s">
        <v>52</v>
      </c>
      <c r="C8" s="15" t="s">
        <v>936</v>
      </c>
      <c r="D8" s="15" t="s">
        <v>937</v>
      </c>
      <c r="E8" s="15" t="s">
        <v>502</v>
      </c>
      <c r="F8" s="15" t="s">
        <v>137</v>
      </c>
      <c r="G8" s="15" t="s">
        <v>938</v>
      </c>
      <c r="H8" s="9">
        <f>COUNTIFS('Test Cases'!$P$2:$P$155,"*"&amp;A8&amp;"*",'Test Cases'!$N$2:$N$155,"Fail")</f>
        <v>0</v>
      </c>
      <c r="I8" s="16" t="s">
        <v>68</v>
      </c>
      <c r="J8" s="17"/>
      <c r="K8" s="18"/>
      <c r="L8" s="17"/>
    </row>
    <row r="9" spans="1:12" ht="22.8" x14ac:dyDescent="0.3">
      <c r="A9" s="11" t="s">
        <v>455</v>
      </c>
      <c r="B9" s="9" t="s">
        <v>52</v>
      </c>
      <c r="C9" s="15" t="s">
        <v>939</v>
      </c>
      <c r="D9" s="15" t="s">
        <v>940</v>
      </c>
      <c r="E9" s="15" t="s">
        <v>453</v>
      </c>
      <c r="F9" s="15" t="s">
        <v>454</v>
      </c>
      <c r="G9" s="15" t="s">
        <v>941</v>
      </c>
      <c r="H9" s="9">
        <f>COUNTIFS('Test Cases'!$P$2:$P$155,"*"&amp;A9&amp;"*",'Test Cases'!$N$2:$N$155,"Fail")</f>
        <v>0</v>
      </c>
      <c r="I9" s="16" t="s">
        <v>68</v>
      </c>
      <c r="J9" s="17"/>
      <c r="K9" s="18"/>
      <c r="L9" s="17"/>
    </row>
    <row r="10" spans="1:12" ht="34.200000000000003" x14ac:dyDescent="0.3">
      <c r="A10" s="11" t="s">
        <v>446</v>
      </c>
      <c r="B10" s="9" t="s">
        <v>52</v>
      </c>
      <c r="C10" s="15" t="s">
        <v>942</v>
      </c>
      <c r="D10" s="15" t="s">
        <v>943</v>
      </c>
      <c r="E10" s="15" t="s">
        <v>444</v>
      </c>
      <c r="F10" s="15" t="s">
        <v>445</v>
      </c>
      <c r="G10" s="15" t="s">
        <v>944</v>
      </c>
      <c r="H10" s="9">
        <f>COUNTIFS('Test Cases'!$P$2:$P$155,"*"&amp;A10&amp;"*",'Test Cases'!$N$2:$N$155,"Fail")</f>
        <v>0</v>
      </c>
      <c r="I10" s="16" t="s">
        <v>68</v>
      </c>
      <c r="J10" s="17"/>
      <c r="K10" s="18"/>
      <c r="L10" s="17"/>
    </row>
    <row r="11" spans="1:12" x14ac:dyDescent="0.3">
      <c r="A11" s="11" t="s">
        <v>555</v>
      </c>
      <c r="B11" s="9" t="s">
        <v>52</v>
      </c>
      <c r="C11" s="15" t="s">
        <v>945</v>
      </c>
      <c r="D11" s="15" t="s">
        <v>946</v>
      </c>
      <c r="E11" s="15" t="s">
        <v>554</v>
      </c>
      <c r="F11" s="15" t="s">
        <v>554</v>
      </c>
      <c r="G11" s="15" t="s">
        <v>551</v>
      </c>
      <c r="H11" s="9">
        <f>COUNTIFS('Test Cases'!$P$2:$P$155,"*"&amp;A11&amp;"*",'Test Cases'!$N$2:$N$155,"Fail")</f>
        <v>0</v>
      </c>
      <c r="I11" s="16" t="s">
        <v>68</v>
      </c>
      <c r="J11" s="17"/>
      <c r="K11" s="18"/>
      <c r="L11" s="17"/>
    </row>
    <row r="12" spans="1:12" ht="34.200000000000003" x14ac:dyDescent="0.3">
      <c r="A12" s="11" t="s">
        <v>587</v>
      </c>
      <c r="B12" s="9" t="s">
        <v>947</v>
      </c>
      <c r="C12" s="15" t="s">
        <v>948</v>
      </c>
      <c r="D12" s="15" t="s">
        <v>949</v>
      </c>
      <c r="E12" s="15" t="s">
        <v>950</v>
      </c>
      <c r="F12" s="15" t="s">
        <v>125</v>
      </c>
      <c r="G12" s="15" t="s">
        <v>583</v>
      </c>
      <c r="H12" s="9">
        <f>COUNTIFS('Test Cases'!$P$2:$P$155,"*"&amp;A12&amp;"*",'Test Cases'!$N$2:$N$155,"Fail")</f>
        <v>0</v>
      </c>
      <c r="I12" s="16" t="s">
        <v>68</v>
      </c>
      <c r="J12" s="17"/>
      <c r="K12" s="18"/>
      <c r="L12" s="17"/>
    </row>
    <row r="13" spans="1:12" ht="22.8" x14ac:dyDescent="0.3">
      <c r="A13" s="11" t="s">
        <v>731</v>
      </c>
      <c r="B13" s="9" t="s">
        <v>52</v>
      </c>
      <c r="C13" s="15" t="s">
        <v>951</v>
      </c>
      <c r="D13" s="15" t="s">
        <v>952</v>
      </c>
      <c r="E13" s="15" t="s">
        <v>953</v>
      </c>
      <c r="F13" s="15" t="s">
        <v>730</v>
      </c>
      <c r="G13" s="15" t="s">
        <v>726</v>
      </c>
      <c r="H13" s="9">
        <f>COUNTIFS('Test Cases'!$P$2:$P$155,"*"&amp;A13&amp;"*",'Test Cases'!$N$2:$N$155,"Fail")</f>
        <v>0</v>
      </c>
      <c r="I13" s="16" t="s">
        <v>68</v>
      </c>
      <c r="J13" s="17"/>
      <c r="K13" s="18"/>
      <c r="L13" s="17"/>
    </row>
    <row r="14" spans="1:12" ht="22.8" x14ac:dyDescent="0.3">
      <c r="A14" s="11" t="s">
        <v>469</v>
      </c>
      <c r="B14" s="9" t="s">
        <v>52</v>
      </c>
      <c r="C14" s="15" t="s">
        <v>954</v>
      </c>
      <c r="D14" s="15" t="s">
        <v>955</v>
      </c>
      <c r="E14" s="15" t="s">
        <v>956</v>
      </c>
      <c r="F14" s="15" t="s">
        <v>161</v>
      </c>
      <c r="G14" s="15" t="s">
        <v>957</v>
      </c>
      <c r="H14" s="9">
        <f>COUNTIFS('Test Cases'!$P$2:$P$155,"*"&amp;A14&amp;"*",'Test Cases'!$N$2:$N$155,"Fail")</f>
        <v>0</v>
      </c>
      <c r="I14" s="16" t="s">
        <v>68</v>
      </c>
      <c r="J14" s="17"/>
      <c r="K14" s="18"/>
      <c r="L14" s="17"/>
    </row>
    <row r="15" spans="1:12" ht="22.8" x14ac:dyDescent="0.3">
      <c r="A15" s="11" t="s">
        <v>340</v>
      </c>
      <c r="B15" s="9" t="s">
        <v>53</v>
      </c>
      <c r="C15" s="15" t="s">
        <v>958</v>
      </c>
      <c r="D15" s="15" t="s">
        <v>959</v>
      </c>
      <c r="E15" s="15" t="s">
        <v>339</v>
      </c>
      <c r="F15" s="15" t="s">
        <v>339</v>
      </c>
      <c r="G15" s="15" t="s">
        <v>336</v>
      </c>
      <c r="H15" s="9">
        <f>COUNTIFS('Test Cases'!$P$2:$P$155,"*"&amp;A15&amp;"*",'Test Cases'!$N$2:$N$155,"Fail")</f>
        <v>0</v>
      </c>
      <c r="I15" s="16" t="s">
        <v>68</v>
      </c>
      <c r="J15" s="17"/>
      <c r="K15" s="18"/>
      <c r="L15" s="17"/>
    </row>
    <row r="16" spans="1:12" x14ac:dyDescent="0.3">
      <c r="A16" s="11" t="s">
        <v>346</v>
      </c>
      <c r="B16" s="9" t="s">
        <v>53</v>
      </c>
      <c r="C16" s="15" t="s">
        <v>960</v>
      </c>
      <c r="D16" s="15" t="s">
        <v>961</v>
      </c>
      <c r="E16" s="15" t="s">
        <v>344</v>
      </c>
      <c r="F16" s="15" t="s">
        <v>345</v>
      </c>
      <c r="G16" s="15" t="s">
        <v>341</v>
      </c>
      <c r="H16" s="9">
        <f>COUNTIFS('Test Cases'!$P$2:$P$155,"*"&amp;A16&amp;"*",'Test Cases'!$N$2:$N$155,"Fail")</f>
        <v>0</v>
      </c>
      <c r="I16" s="16" t="s">
        <v>68</v>
      </c>
      <c r="J16" s="17"/>
      <c r="K16" s="18"/>
      <c r="L16" s="17"/>
    </row>
    <row r="17" spans="1:12" ht="22.8" x14ac:dyDescent="0.3">
      <c r="A17" s="11" t="s">
        <v>751</v>
      </c>
      <c r="B17" s="9" t="s">
        <v>52</v>
      </c>
      <c r="C17" s="15" t="s">
        <v>962</v>
      </c>
      <c r="D17" s="15" t="s">
        <v>963</v>
      </c>
      <c r="E17" s="15" t="s">
        <v>236</v>
      </c>
      <c r="F17" s="15" t="s">
        <v>237</v>
      </c>
      <c r="G17" s="15" t="s">
        <v>747</v>
      </c>
      <c r="H17" s="9">
        <f>COUNTIFS('Test Cases'!$P$2:$P$155,"*"&amp;A17&amp;"*",'Test Cases'!$N$2:$N$155,"Fail")</f>
        <v>0</v>
      </c>
      <c r="I17" s="16" t="s">
        <v>68</v>
      </c>
      <c r="J17" s="17"/>
      <c r="K17" s="18"/>
      <c r="L17" s="17"/>
    </row>
    <row r="18" spans="1:12" ht="34.200000000000003" x14ac:dyDescent="0.3">
      <c r="A18" s="11" t="s">
        <v>769</v>
      </c>
      <c r="B18" s="9" t="s">
        <v>53</v>
      </c>
      <c r="C18" s="15" t="s">
        <v>964</v>
      </c>
      <c r="D18" s="15" t="s">
        <v>965</v>
      </c>
      <c r="E18" s="15" t="s">
        <v>966</v>
      </c>
      <c r="F18" s="15" t="s">
        <v>967</v>
      </c>
      <c r="G18" s="15" t="s">
        <v>764</v>
      </c>
      <c r="H18" s="9">
        <f>COUNTIFS('Test Cases'!$P$2:$P$155,"*"&amp;A18&amp;"*",'Test Cases'!$N$2:$N$155,"Fail")</f>
        <v>0</v>
      </c>
      <c r="I18" s="16" t="s">
        <v>68</v>
      </c>
      <c r="J18" s="17"/>
      <c r="K18" s="18"/>
      <c r="L18" s="17"/>
    </row>
    <row r="19" spans="1:12" ht="22.8" x14ac:dyDescent="0.3">
      <c r="A19" s="11" t="s">
        <v>775</v>
      </c>
      <c r="B19" s="9" t="s">
        <v>52</v>
      </c>
      <c r="C19" s="15" t="s">
        <v>968</v>
      </c>
      <c r="D19" s="15" t="s">
        <v>969</v>
      </c>
      <c r="E19" s="15" t="s">
        <v>970</v>
      </c>
      <c r="F19" s="15" t="s">
        <v>774</v>
      </c>
      <c r="G19" s="15" t="s">
        <v>770</v>
      </c>
      <c r="H19" s="9">
        <f>COUNTIFS('Test Cases'!$P$2:$P$155,"*"&amp;A19&amp;"*",'Test Cases'!$N$2:$N$155,"Fail")</f>
        <v>0</v>
      </c>
      <c r="I19" s="16" t="s">
        <v>68</v>
      </c>
      <c r="J19" s="17"/>
      <c r="K19" s="18"/>
      <c r="L19" s="17"/>
    </row>
    <row r="20" spans="1:12" ht="22.8" x14ac:dyDescent="0.3">
      <c r="A20" s="11" t="s">
        <v>303</v>
      </c>
      <c r="B20" s="9" t="s">
        <v>53</v>
      </c>
      <c r="C20" s="15" t="s">
        <v>971</v>
      </c>
      <c r="D20" s="15" t="s">
        <v>972</v>
      </c>
      <c r="E20" s="15" t="s">
        <v>973</v>
      </c>
      <c r="F20" s="15" t="s">
        <v>125</v>
      </c>
      <c r="G20" s="15" t="s">
        <v>974</v>
      </c>
      <c r="H20" s="9">
        <f>COUNTIFS('Test Cases'!$P$2:$P$155,"*"&amp;A20&amp;"*",'Test Cases'!$N$2:$N$155,"Fail")</f>
        <v>0</v>
      </c>
      <c r="I20" s="16" t="s">
        <v>68</v>
      </c>
      <c r="J20" s="17"/>
      <c r="K20" s="18"/>
      <c r="L20" s="17"/>
    </row>
    <row r="21" spans="1:12" ht="34.200000000000003" x14ac:dyDescent="0.3">
      <c r="A21" s="11" t="s">
        <v>975</v>
      </c>
      <c r="B21" s="9" t="s">
        <v>53</v>
      </c>
      <c r="C21" s="15" t="s">
        <v>976</v>
      </c>
      <c r="D21" s="15" t="s">
        <v>977</v>
      </c>
      <c r="E21" s="15" t="s">
        <v>978</v>
      </c>
      <c r="F21" s="15" t="s">
        <v>384</v>
      </c>
      <c r="G21" s="15" t="s">
        <v>979</v>
      </c>
      <c r="H21" s="9">
        <f>COUNTIFS('Test Cases'!$P$2:$P$155,"*"&amp;A21&amp;"*",'Test Cases'!$N$2:$N$155,"Fail")</f>
        <v>0</v>
      </c>
      <c r="I21" s="16" t="s">
        <v>68</v>
      </c>
      <c r="J21" s="17"/>
      <c r="K21" s="18"/>
      <c r="L21" s="17"/>
    </row>
    <row r="22" spans="1:12" ht="22.8" x14ac:dyDescent="0.3">
      <c r="A22" s="11" t="s">
        <v>980</v>
      </c>
      <c r="B22" s="9" t="s">
        <v>53</v>
      </c>
      <c r="C22" s="15" t="s">
        <v>981</v>
      </c>
      <c r="D22" s="15" t="s">
        <v>982</v>
      </c>
      <c r="E22" s="15" t="s">
        <v>983</v>
      </c>
      <c r="F22" s="15" t="s">
        <v>887</v>
      </c>
      <c r="G22" s="15" t="s">
        <v>274</v>
      </c>
      <c r="H22" s="9">
        <f>COUNTIFS('Test Cases'!$P$2:$P$155,"*"&amp;A22&amp;"*",'Test Cases'!$N$2:$N$155,"Fail")</f>
        <v>0</v>
      </c>
      <c r="I22" s="16" t="s">
        <v>68</v>
      </c>
      <c r="J22" s="17"/>
      <c r="K22" s="18"/>
      <c r="L22" s="17"/>
    </row>
    <row r="23" spans="1:12" ht="22.8" x14ac:dyDescent="0.3">
      <c r="A23" s="11" t="s">
        <v>662</v>
      </c>
      <c r="B23" s="9" t="s">
        <v>52</v>
      </c>
      <c r="C23" s="15" t="s">
        <v>984</v>
      </c>
      <c r="D23" s="15" t="s">
        <v>985</v>
      </c>
      <c r="E23" s="15" t="s">
        <v>661</v>
      </c>
      <c r="F23" s="15" t="s">
        <v>661</v>
      </c>
      <c r="G23" s="15" t="s">
        <v>656</v>
      </c>
      <c r="H23" s="9">
        <f>COUNTIFS('Test Cases'!$P$2:$P$155,"*"&amp;A23&amp;"*",'Test Cases'!$N$2:$N$155,"Fail")</f>
        <v>0</v>
      </c>
      <c r="I23" s="16" t="s">
        <v>68</v>
      </c>
      <c r="J23" s="17"/>
      <c r="K23" s="18"/>
      <c r="L23" s="17"/>
    </row>
    <row r="24" spans="1:12" x14ac:dyDescent="0.3">
      <c r="A24" s="11" t="s">
        <v>413</v>
      </c>
      <c r="B24" s="9" t="s">
        <v>53</v>
      </c>
      <c r="C24" s="15" t="s">
        <v>986</v>
      </c>
      <c r="D24" s="15" t="s">
        <v>987</v>
      </c>
      <c r="E24" s="15" t="s">
        <v>365</v>
      </c>
      <c r="F24" s="15" t="s">
        <v>365</v>
      </c>
      <c r="G24" s="15" t="s">
        <v>410</v>
      </c>
      <c r="H24" s="9">
        <f>COUNTIFS('Test Cases'!$P$2:$P$155,"*"&amp;A24&amp;"*",'Test Cases'!$N$2:$N$155,"Fail")</f>
        <v>0</v>
      </c>
      <c r="I24" s="16" t="s">
        <v>68</v>
      </c>
      <c r="J24" s="17"/>
      <c r="K24" s="18"/>
      <c r="L24" s="17"/>
    </row>
    <row r="25" spans="1:12" x14ac:dyDescent="0.3">
      <c r="A25" s="11" t="s">
        <v>420</v>
      </c>
      <c r="B25" s="9" t="s">
        <v>53</v>
      </c>
      <c r="C25" s="15" t="s">
        <v>988</v>
      </c>
      <c r="D25" s="15" t="s">
        <v>989</v>
      </c>
      <c r="E25" s="15" t="s">
        <v>369</v>
      </c>
      <c r="F25" s="15" t="s">
        <v>369</v>
      </c>
      <c r="G25" s="15" t="s">
        <v>414</v>
      </c>
      <c r="H25" s="9">
        <f>COUNTIFS('Test Cases'!$P$2:$P$155,"*"&amp;A25&amp;"*",'Test Cases'!$N$2:$N$155,"Fail")</f>
        <v>0</v>
      </c>
      <c r="I25" s="16" t="s">
        <v>68</v>
      </c>
      <c r="J25" s="17"/>
      <c r="K25" s="18"/>
      <c r="L25" s="17"/>
    </row>
    <row r="26" spans="1:12" x14ac:dyDescent="0.3">
      <c r="A26" s="11" t="s">
        <v>166</v>
      </c>
      <c r="B26" s="9" t="s">
        <v>53</v>
      </c>
      <c r="C26" s="15" t="s">
        <v>990</v>
      </c>
      <c r="D26" s="15" t="s">
        <v>991</v>
      </c>
      <c r="E26" s="15" t="s">
        <v>204</v>
      </c>
      <c r="F26" s="15" t="s">
        <v>161</v>
      </c>
      <c r="G26" s="15" t="s">
        <v>992</v>
      </c>
      <c r="H26" s="9">
        <f>COUNTIFS('Test Cases'!$P$2:$P$155,"*"&amp;A26&amp;"*",'Test Cases'!$N$2:$N$155,"Fail")</f>
        <v>0</v>
      </c>
      <c r="I26" s="16" t="s">
        <v>68</v>
      </c>
      <c r="J26" s="17"/>
      <c r="K26" s="18"/>
      <c r="L26" s="17"/>
    </row>
    <row r="27" spans="1:12" ht="22.8" x14ac:dyDescent="0.3">
      <c r="A27" s="11" t="s">
        <v>993</v>
      </c>
      <c r="B27" s="9" t="s">
        <v>53</v>
      </c>
      <c r="C27" s="15" t="s">
        <v>994</v>
      </c>
      <c r="D27" s="15" t="s">
        <v>995</v>
      </c>
      <c r="E27" s="15" t="s">
        <v>996</v>
      </c>
      <c r="F27" s="15" t="s">
        <v>483</v>
      </c>
      <c r="G27" s="15" t="s">
        <v>997</v>
      </c>
      <c r="H27" s="9">
        <f>COUNTIFS('Test Cases'!$P$2:$P$155,"*"&amp;A27&amp;"*",'Test Cases'!$N$2:$N$155,"Fail")</f>
        <v>0</v>
      </c>
      <c r="I27" s="16" t="s">
        <v>68</v>
      </c>
      <c r="J27" s="17"/>
      <c r="K27" s="18"/>
      <c r="L27" s="17"/>
    </row>
    <row r="28" spans="1:12" ht="22.8" x14ac:dyDescent="0.3">
      <c r="A28" s="11" t="s">
        <v>509</v>
      </c>
      <c r="B28" s="9" t="s">
        <v>53</v>
      </c>
      <c r="C28" s="15" t="s">
        <v>998</v>
      </c>
      <c r="D28" s="15" t="s">
        <v>999</v>
      </c>
      <c r="E28" s="15" t="s">
        <v>1000</v>
      </c>
      <c r="F28" s="15" t="s">
        <v>1001</v>
      </c>
      <c r="G28" s="15" t="s">
        <v>503</v>
      </c>
      <c r="H28" s="9">
        <f>COUNTIFS('Test Cases'!$P$2:$P$155,"*"&amp;A28&amp;"*",'Test Cases'!$N$2:$N$155,"Fail")</f>
        <v>0</v>
      </c>
      <c r="I28" s="16" t="s">
        <v>68</v>
      </c>
      <c r="J28" s="17"/>
      <c r="K28" s="18"/>
      <c r="L28" s="17"/>
    </row>
    <row r="29" spans="1:12" ht="22.8" x14ac:dyDescent="0.3">
      <c r="A29" s="11" t="s">
        <v>353</v>
      </c>
      <c r="B29" s="9" t="s">
        <v>53</v>
      </c>
      <c r="C29" s="15" t="s">
        <v>1002</v>
      </c>
      <c r="D29" s="15" t="s">
        <v>1003</v>
      </c>
      <c r="E29" s="15" t="s">
        <v>351</v>
      </c>
      <c r="F29" s="15" t="s">
        <v>352</v>
      </c>
      <c r="G29" s="15" t="s">
        <v>347</v>
      </c>
      <c r="H29" s="9">
        <f>COUNTIFS('Test Cases'!$P$2:$P$155,"*"&amp;A29&amp;"*",'Test Cases'!$N$2:$N$155,"Fail")</f>
        <v>0</v>
      </c>
      <c r="I29" s="16" t="s">
        <v>68</v>
      </c>
      <c r="J29" s="17"/>
      <c r="K29" s="18"/>
      <c r="L29" s="17"/>
    </row>
    <row r="30" spans="1:12" ht="22.8" x14ac:dyDescent="0.3">
      <c r="A30" s="11" t="s">
        <v>360</v>
      </c>
      <c r="B30" s="9" t="s">
        <v>53</v>
      </c>
      <c r="C30" s="15" t="s">
        <v>1004</v>
      </c>
      <c r="D30" s="15" t="s">
        <v>1005</v>
      </c>
      <c r="E30" s="15" t="s">
        <v>358</v>
      </c>
      <c r="F30" s="15" t="s">
        <v>359</v>
      </c>
      <c r="G30" s="15" t="s">
        <v>354</v>
      </c>
      <c r="H30" s="9">
        <f>COUNTIFS('Test Cases'!$P$2:$P$155,"*"&amp;A30&amp;"*",'Test Cases'!$N$2:$N$155,"Fail")</f>
        <v>0</v>
      </c>
      <c r="I30" s="16" t="s">
        <v>68</v>
      </c>
      <c r="J30" s="17"/>
      <c r="K30" s="18"/>
      <c r="L30" s="17"/>
    </row>
    <row r="31" spans="1:12" ht="22.8" x14ac:dyDescent="0.3">
      <c r="A31" s="11" t="s">
        <v>655</v>
      </c>
      <c r="B31" s="9" t="s">
        <v>53</v>
      </c>
      <c r="C31" s="15" t="s">
        <v>1006</v>
      </c>
      <c r="D31" s="15" t="s">
        <v>1007</v>
      </c>
      <c r="E31" s="15" t="s">
        <v>1008</v>
      </c>
      <c r="F31" s="15" t="s">
        <v>843</v>
      </c>
      <c r="G31" s="15" t="s">
        <v>650</v>
      </c>
      <c r="H31" s="9">
        <f>COUNTIFS('Test Cases'!$P$2:$P$155,"*"&amp;A31&amp;"*",'Test Cases'!$N$2:$N$155,"Fail")</f>
        <v>0</v>
      </c>
      <c r="I31" s="16" t="s">
        <v>68</v>
      </c>
      <c r="J31" s="17"/>
      <c r="K31" s="18"/>
      <c r="L31" s="17"/>
    </row>
    <row r="32" spans="1:12" ht="45.6" x14ac:dyDescent="0.3">
      <c r="A32" s="11" t="s">
        <v>741</v>
      </c>
      <c r="B32" s="9" t="s">
        <v>1009</v>
      </c>
      <c r="C32" s="15" t="s">
        <v>1010</v>
      </c>
      <c r="D32" s="15" t="s">
        <v>1011</v>
      </c>
      <c r="E32" s="15" t="s">
        <v>1012</v>
      </c>
      <c r="F32" s="15" t="s">
        <v>740</v>
      </c>
      <c r="G32" s="15" t="s">
        <v>736</v>
      </c>
      <c r="H32" s="9">
        <f>COUNTIFS('Test Cases'!$P$2:$P$155,"*"&amp;A32&amp;"*",'Test Cases'!$N$2:$N$155,"Fail")</f>
        <v>0</v>
      </c>
      <c r="I32" s="16" t="s">
        <v>68</v>
      </c>
      <c r="J32" s="17"/>
      <c r="K32" s="18"/>
      <c r="L32" s="17"/>
    </row>
    <row r="34" spans="1:8" x14ac:dyDescent="0.3">
      <c r="A34" s="19" t="s">
        <v>1013</v>
      </c>
      <c r="B34" s="20"/>
      <c r="C34" s="20"/>
      <c r="D34" s="20"/>
      <c r="E34" s="20"/>
      <c r="F34" s="20"/>
      <c r="G34" s="20"/>
      <c r="H34" s="20"/>
    </row>
  </sheetData>
  <autoFilter ref="A1:L32" xr:uid="{00000000-0009-0000-0000-000004000000}"/>
  <mergeCells count="1">
    <mergeCell ref="A34:H34"/>
  </mergeCells>
  <dataValidations count="1">
    <dataValidation type="list" sqref="I2:I32" xr:uid="{00000000-0002-0000-0400-000000000000}">
      <formula1>"Open,In progress,Fixed,Verified,Won't fix,SRS to update"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Summary</vt:lpstr>
      <vt:lpstr>Test Cases</vt:lpstr>
      <vt:lpstr>RTM</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Maria Sophea Balidio</cp:lastModifiedBy>
  <dcterms:created xsi:type="dcterms:W3CDTF">2026-10-07T02:59:21Z</dcterms:created>
  <dcterms:modified xsi:type="dcterms:W3CDTF">2026-10-07T03:00:21Z</dcterms:modified>
</cp:coreProperties>
</file>