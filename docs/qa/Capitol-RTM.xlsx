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ophe\AppData\Local\Temp\claude\c--Users-sophe-Desktop-APC-2026-2027-T1-SS231-G03-CapitolBookingSystem\ab520258-f667-47ac-967d-9218c12f8ccb\scratchpad\qa-wt\docs\qa\"/>
    </mc:Choice>
  </mc:AlternateContent>
  <xr:revisionPtr revIDLastSave="0" documentId="13_ncr:1_{549F5EC1-6520-4086-8F92-2AE5812F289A}" xr6:coauthVersionLast="47" xr6:coauthVersionMax="47" xr10:uidLastSave="{00000000-0000-0000-0000-000000000000}"/>
  <bookViews>
    <workbookView xWindow="-108" yWindow="-108" windowWidth="23256" windowHeight="12456" xr2:uid="{00000000-000D-0000-FFFF-FFFF00000000}"/>
  </bookViews>
  <sheets>
    <sheet name="Cover" sheetId="1" r:id="rId1"/>
    <sheet name="Summary" sheetId="2" r:id="rId2"/>
    <sheet name="Test Cases" sheetId="3" r:id="rId3"/>
    <sheet name="RTM" sheetId="4" r:id="rId4"/>
    <sheet name="Findings" sheetId="5" r:id="rId5"/>
  </sheets>
  <definedNames>
    <definedName name="_xlnm._FilterDatabase" localSheetId="4" hidden="1">Findings!$A$1:$L$33</definedName>
    <definedName name="_xlnm._FilterDatabase" localSheetId="3" hidden="1">RTM!$A$1:$O$41</definedName>
    <definedName name="_xlnm._FilterDatabase" localSheetId="2" hidden="1">'Test Cases'!$A$1:$T$155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3" i="5" l="1"/>
  <c r="H32" i="5"/>
  <c r="H31" i="5"/>
  <c r="H30" i="5"/>
  <c r="H29" i="5"/>
  <c r="H28" i="5"/>
  <c r="H27" i="5"/>
  <c r="H26" i="5"/>
  <c r="H25" i="5"/>
  <c r="H24" i="5"/>
  <c r="H23" i="5"/>
  <c r="H22" i="5"/>
  <c r="H21" i="5"/>
  <c r="H20" i="5"/>
  <c r="H19" i="5"/>
  <c r="H18" i="5"/>
  <c r="H17" i="5"/>
  <c r="H16" i="5"/>
  <c r="H15" i="5"/>
  <c r="H14" i="5"/>
  <c r="H13" i="5"/>
  <c r="H12" i="5"/>
  <c r="H11" i="5"/>
  <c r="H10" i="5"/>
  <c r="H9" i="5"/>
  <c r="H8" i="5"/>
  <c r="H7" i="5"/>
  <c r="H6" i="5"/>
  <c r="H5" i="5"/>
  <c r="H4" i="5"/>
  <c r="H3" i="5"/>
  <c r="H2" i="5"/>
  <c r="M41" i="4"/>
  <c r="L41" i="4"/>
  <c r="K41" i="4"/>
  <c r="J41" i="4"/>
  <c r="I41" i="4"/>
  <c r="H41" i="4"/>
  <c r="O41" i="4" s="1"/>
  <c r="M40" i="4"/>
  <c r="L40" i="4"/>
  <c r="K40" i="4"/>
  <c r="J40" i="4"/>
  <c r="I40" i="4"/>
  <c r="H40" i="4"/>
  <c r="O40" i="4" s="1"/>
  <c r="M39" i="4"/>
  <c r="L39" i="4"/>
  <c r="K39" i="4"/>
  <c r="J39" i="4"/>
  <c r="I39" i="4"/>
  <c r="H39" i="4"/>
  <c r="M38" i="4"/>
  <c r="L38" i="4"/>
  <c r="K38" i="4"/>
  <c r="J38" i="4"/>
  <c r="I38" i="4"/>
  <c r="H38" i="4"/>
  <c r="M37" i="4"/>
  <c r="L37" i="4"/>
  <c r="K37" i="4"/>
  <c r="J37" i="4"/>
  <c r="I37" i="4"/>
  <c r="H37" i="4"/>
  <c r="O37" i="4" s="1"/>
  <c r="M36" i="4"/>
  <c r="L36" i="4"/>
  <c r="K36" i="4"/>
  <c r="J36" i="4"/>
  <c r="I36" i="4"/>
  <c r="H36" i="4"/>
  <c r="M35" i="4"/>
  <c r="L35" i="4"/>
  <c r="K35" i="4"/>
  <c r="J35" i="4"/>
  <c r="I35" i="4"/>
  <c r="H35" i="4"/>
  <c r="M34" i="4"/>
  <c r="L34" i="4"/>
  <c r="K34" i="4"/>
  <c r="J34" i="4"/>
  <c r="I34" i="4"/>
  <c r="H34" i="4"/>
  <c r="M33" i="4"/>
  <c r="L33" i="4"/>
  <c r="K33" i="4"/>
  <c r="J33" i="4"/>
  <c r="I33" i="4"/>
  <c r="H33" i="4"/>
  <c r="O33" i="4" s="1"/>
  <c r="M32" i="4"/>
  <c r="L32" i="4"/>
  <c r="K32" i="4"/>
  <c r="J32" i="4"/>
  <c r="I32" i="4"/>
  <c r="H32" i="4"/>
  <c r="M31" i="4"/>
  <c r="L31" i="4"/>
  <c r="K31" i="4"/>
  <c r="J31" i="4"/>
  <c r="I31" i="4"/>
  <c r="H31" i="4"/>
  <c r="O31" i="4" s="1"/>
  <c r="M30" i="4"/>
  <c r="L30" i="4"/>
  <c r="K30" i="4"/>
  <c r="J30" i="4"/>
  <c r="I30" i="4"/>
  <c r="H30" i="4"/>
  <c r="M29" i="4"/>
  <c r="L29" i="4"/>
  <c r="K29" i="4"/>
  <c r="J29" i="4"/>
  <c r="I29" i="4"/>
  <c r="H29" i="4"/>
  <c r="O29" i="4" s="1"/>
  <c r="M28" i="4"/>
  <c r="L28" i="4"/>
  <c r="K28" i="4"/>
  <c r="J28" i="4"/>
  <c r="I28" i="4"/>
  <c r="H28" i="4"/>
  <c r="M27" i="4"/>
  <c r="L27" i="4"/>
  <c r="K27" i="4"/>
  <c r="J27" i="4"/>
  <c r="I27" i="4"/>
  <c r="H27" i="4"/>
  <c r="O27" i="4" s="1"/>
  <c r="M26" i="4"/>
  <c r="L26" i="4"/>
  <c r="K26" i="4"/>
  <c r="J26" i="4"/>
  <c r="I26" i="4"/>
  <c r="H26" i="4"/>
  <c r="M25" i="4"/>
  <c r="L25" i="4"/>
  <c r="K25" i="4"/>
  <c r="J25" i="4"/>
  <c r="I25" i="4"/>
  <c r="H25" i="4"/>
  <c r="O25" i="4" s="1"/>
  <c r="M24" i="4"/>
  <c r="L24" i="4"/>
  <c r="K24" i="4"/>
  <c r="J24" i="4"/>
  <c r="I24" i="4"/>
  <c r="H24" i="4"/>
  <c r="M23" i="4"/>
  <c r="L23" i="4"/>
  <c r="K23" i="4"/>
  <c r="J23" i="4"/>
  <c r="I23" i="4"/>
  <c r="H23" i="4"/>
  <c r="O23" i="4" s="1"/>
  <c r="M22" i="4"/>
  <c r="L22" i="4"/>
  <c r="K22" i="4"/>
  <c r="J22" i="4"/>
  <c r="I22" i="4"/>
  <c r="H22" i="4"/>
  <c r="M21" i="4"/>
  <c r="L21" i="4"/>
  <c r="K21" i="4"/>
  <c r="J21" i="4"/>
  <c r="I21" i="4"/>
  <c r="H21" i="4"/>
  <c r="O21" i="4" s="1"/>
  <c r="M20" i="4"/>
  <c r="L20" i="4"/>
  <c r="K20" i="4"/>
  <c r="J20" i="4"/>
  <c r="I20" i="4"/>
  <c r="H20" i="4"/>
  <c r="M19" i="4"/>
  <c r="L19" i="4"/>
  <c r="K19" i="4"/>
  <c r="J19" i="4"/>
  <c r="I19" i="4"/>
  <c r="H19" i="4"/>
  <c r="O19" i="4" s="1"/>
  <c r="M18" i="4"/>
  <c r="L18" i="4"/>
  <c r="K18" i="4"/>
  <c r="J18" i="4"/>
  <c r="I18" i="4"/>
  <c r="H18" i="4"/>
  <c r="M17" i="4"/>
  <c r="L17" i="4"/>
  <c r="K17" i="4"/>
  <c r="J17" i="4"/>
  <c r="I17" i="4"/>
  <c r="H17" i="4"/>
  <c r="O17" i="4" s="1"/>
  <c r="M16" i="4"/>
  <c r="L16" i="4"/>
  <c r="K16" i="4"/>
  <c r="J16" i="4"/>
  <c r="I16" i="4"/>
  <c r="H16" i="4"/>
  <c r="M15" i="4"/>
  <c r="L15" i="4"/>
  <c r="K15" i="4"/>
  <c r="J15" i="4"/>
  <c r="I15" i="4"/>
  <c r="H15" i="4"/>
  <c r="O15" i="4" s="1"/>
  <c r="M14" i="4"/>
  <c r="L14" i="4"/>
  <c r="K14" i="4"/>
  <c r="J14" i="4"/>
  <c r="I14" i="4"/>
  <c r="H14" i="4"/>
  <c r="M13" i="4"/>
  <c r="L13" i="4"/>
  <c r="K13" i="4"/>
  <c r="J13" i="4"/>
  <c r="I13" i="4"/>
  <c r="H13" i="4"/>
  <c r="O13" i="4" s="1"/>
  <c r="M12" i="4"/>
  <c r="L12" i="4"/>
  <c r="K12" i="4"/>
  <c r="J12" i="4"/>
  <c r="I12" i="4"/>
  <c r="H12" i="4"/>
  <c r="O12" i="4" s="1"/>
  <c r="M11" i="4"/>
  <c r="L11" i="4"/>
  <c r="K11" i="4"/>
  <c r="J11" i="4"/>
  <c r="I11" i="4"/>
  <c r="H11" i="4"/>
  <c r="O11" i="4" s="1"/>
  <c r="M10" i="4"/>
  <c r="L10" i="4"/>
  <c r="K10" i="4"/>
  <c r="J10" i="4"/>
  <c r="I10" i="4"/>
  <c r="H10" i="4"/>
  <c r="M9" i="4"/>
  <c r="L9" i="4"/>
  <c r="K9" i="4"/>
  <c r="J9" i="4"/>
  <c r="I9" i="4"/>
  <c r="H9" i="4"/>
  <c r="O9" i="4" s="1"/>
  <c r="M8" i="4"/>
  <c r="L8" i="4"/>
  <c r="K8" i="4"/>
  <c r="J8" i="4"/>
  <c r="I8" i="4"/>
  <c r="H8" i="4"/>
  <c r="O8" i="4" s="1"/>
  <c r="M7" i="4"/>
  <c r="L7" i="4"/>
  <c r="K7" i="4"/>
  <c r="J7" i="4"/>
  <c r="I7" i="4"/>
  <c r="H7" i="4"/>
  <c r="M6" i="4"/>
  <c r="L6" i="4"/>
  <c r="K6" i="4"/>
  <c r="J6" i="4"/>
  <c r="I6" i="4"/>
  <c r="H6" i="4"/>
  <c r="M5" i="4"/>
  <c r="L5" i="4"/>
  <c r="K5" i="4"/>
  <c r="J5" i="4"/>
  <c r="I5" i="4"/>
  <c r="H5" i="4"/>
  <c r="O5" i="4" s="1"/>
  <c r="M4" i="4"/>
  <c r="L4" i="4"/>
  <c r="K4" i="4"/>
  <c r="J4" i="4"/>
  <c r="I4" i="4"/>
  <c r="H4" i="4"/>
  <c r="M3" i="4"/>
  <c r="L3" i="4"/>
  <c r="K3" i="4"/>
  <c r="J3" i="4"/>
  <c r="I3" i="4"/>
  <c r="H3" i="4"/>
  <c r="M2" i="4"/>
  <c r="L2" i="4"/>
  <c r="K2" i="4"/>
  <c r="J2" i="4"/>
  <c r="I2" i="4"/>
  <c r="H2" i="4"/>
  <c r="C38" i="2"/>
  <c r="B38" i="2"/>
  <c r="D38" i="2" s="1"/>
  <c r="C37" i="2"/>
  <c r="B37" i="2"/>
  <c r="C36" i="2"/>
  <c r="B36" i="2"/>
  <c r="C35" i="2"/>
  <c r="B35" i="2"/>
  <c r="C34" i="2"/>
  <c r="B34" i="2"/>
  <c r="D34" i="2" s="1"/>
  <c r="C33" i="2"/>
  <c r="B33" i="2"/>
  <c r="D33" i="2" s="1"/>
  <c r="B22" i="2"/>
  <c r="B19" i="2"/>
  <c r="B18" i="2"/>
  <c r="B17" i="2"/>
  <c r="G14" i="2"/>
  <c r="F14" i="2"/>
  <c r="E14" i="2"/>
  <c r="D14" i="2"/>
  <c r="C14" i="2"/>
  <c r="B14" i="2"/>
  <c r="G13" i="2"/>
  <c r="F13" i="2"/>
  <c r="E13" i="2"/>
  <c r="D13" i="2"/>
  <c r="C13" i="2"/>
  <c r="B13" i="2"/>
  <c r="G9" i="2"/>
  <c r="G8" i="2"/>
  <c r="F8" i="2"/>
  <c r="E8" i="2"/>
  <c r="D8" i="2"/>
  <c r="C8" i="2"/>
  <c r="I8" i="2" s="1"/>
  <c r="B8" i="2"/>
  <c r="H8" i="2" s="1"/>
  <c r="G7" i="2"/>
  <c r="F7" i="2"/>
  <c r="E7" i="2"/>
  <c r="D7" i="2"/>
  <c r="C7" i="2"/>
  <c r="I7" i="2" s="1"/>
  <c r="B7" i="2"/>
  <c r="G6" i="2"/>
  <c r="F6" i="2"/>
  <c r="E6" i="2"/>
  <c r="D6" i="2"/>
  <c r="C6" i="2"/>
  <c r="B6" i="2"/>
  <c r="G5" i="2"/>
  <c r="F5" i="2"/>
  <c r="E5" i="2"/>
  <c r="D5" i="2"/>
  <c r="C5" i="2"/>
  <c r="I5" i="2" s="1"/>
  <c r="B5" i="2"/>
  <c r="H5" i="2" s="1"/>
  <c r="G4" i="2"/>
  <c r="F4" i="2"/>
  <c r="E4" i="2"/>
  <c r="D4" i="2"/>
  <c r="C4" i="2"/>
  <c r="I4" i="2" s="1"/>
  <c r="B4" i="2"/>
  <c r="D36" i="2" l="1"/>
  <c r="I6" i="2"/>
  <c r="D35" i="2"/>
  <c r="O2" i="4"/>
  <c r="O6" i="4"/>
  <c r="O10" i="4"/>
  <c r="O14" i="4"/>
  <c r="O18" i="4"/>
  <c r="O22" i="4"/>
  <c r="O26" i="4"/>
  <c r="O30" i="4"/>
  <c r="O34" i="4"/>
  <c r="O38" i="4"/>
  <c r="O16" i="4"/>
  <c r="O20" i="4"/>
  <c r="O24" i="4"/>
  <c r="O28" i="4"/>
  <c r="O32" i="4"/>
  <c r="O36" i="4"/>
  <c r="D9" i="2"/>
  <c r="D37" i="2"/>
  <c r="B9" i="2"/>
  <c r="H9" i="2" s="1"/>
  <c r="E9" i="2"/>
  <c r="O3" i="4"/>
  <c r="B28" i="2" s="1"/>
  <c r="O35" i="4"/>
  <c r="O39" i="4"/>
  <c r="O4" i="4"/>
  <c r="H7" i="2"/>
  <c r="O7" i="4"/>
  <c r="F9" i="2"/>
  <c r="H6" i="2"/>
  <c r="B29" i="2"/>
  <c r="C9" i="2"/>
  <c r="I9" i="2" s="1"/>
  <c r="H4" i="2"/>
  <c r="N2"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B23" i="2"/>
  <c r="B24" i="2" s="1"/>
  <c r="B25" i="2" l="1"/>
  <c r="B26" i="2"/>
  <c r="B27" i="2"/>
</calcChain>
</file>

<file path=xl/sharedStrings.xml><?xml version="1.0" encoding="utf-8"?>
<sst xmlns="http://schemas.openxmlformats.org/spreadsheetml/2006/main" count="2747" uniqueCount="1039">
  <si>
    <t>Capitol Booking System — Requirements Traceability Matrix</t>
  </si>
  <si>
    <t>Project</t>
  </si>
  <si>
    <t>Capitol Booking System (CBS), Vector Four — SS231 G03</t>
  </si>
  <si>
    <t>Source of truth</t>
  </si>
  <si>
    <t>Software Requirements Specification v1.1 (10-6-2026)</t>
  </si>
  <si>
    <t>Test basis</t>
  </si>
  <si>
    <t>docs/qa/manual-test-suite.md on branch test/manual-test-suite</t>
  </si>
  <si>
    <t>Code baseline</t>
  </si>
  <si>
    <t>main @ 010694c</t>
  </si>
  <si>
    <t>System under test</t>
  </si>
  <si>
    <t>https://capitolrestaurant.up.railway.app</t>
  </si>
  <si>
    <t>Sheets</t>
  </si>
  <si>
    <t>Summary</t>
  </si>
  <si>
    <t>Execution progress, pass rate and requirement coverage. All figures are formulas; do not edit.</t>
  </si>
  <si>
    <t>RTM</t>
  </si>
  <si>
    <t>One row per SRS requirement → linked test cases, findings and a computed verdict (forward and backward traceability).</t>
  </si>
  <si>
    <t>Test Cases</t>
  </si>
  <si>
    <t>All test cases with steps and expected results, plus the execution columns you fill in.</t>
  </si>
  <si>
    <t>Findings</t>
  </si>
  <si>
    <t>SRS-vs-app deviations found during test design (F-01 to F-31), with a defect workflow.</t>
  </si>
  <si>
    <t>Requirement IDs</t>
  </si>
  <si>
    <t>SRS IDs are used as written (REQ-*). The SRS does not number its business rules, flows, user classes or non-functional items, so the RTM assigns IDs (BR-01, SEQ-RES, NFR-SEC-01 …) with the SRS section next to each. BRIEF marks cases that come from the test brief rather than the SRS.</t>
  </si>
  <si>
    <t>How to record a run</t>
  </si>
  <si>
    <t>Cells to edit</t>
  </si>
  <si>
    <t>Only the yellow cells: Test Cases → Status, Actual Result, Defect / Finding ID, Tester, Date Executed, Build / Commit, Remarks; Findings → Status, Owner, Target Date, Resolution Notes. Everything else is reference data or a formula.</t>
  </si>
  <si>
    <t>Status values</t>
  </si>
  <si>
    <t>Not Run · Pass · Fail · Blocked · N/A (drop-down). A case that confirms a known finding is a Fail; put the F-xx in Defect / Finding ID.</t>
  </si>
  <si>
    <t>Outlook column</t>
  </si>
  <si>
    <t>'Known deviation' means code review already predicts a Fail (the case references a finding). 'Expected to pass' means no known issue.</t>
  </si>
  <si>
    <t>30-min subset</t>
  </si>
  <si>
    <t>Test Cases → 30-min = Y marks the time-boxed run (about 28 minutes). Filter on it.</t>
  </si>
  <si>
    <t>Requirement verdict</t>
  </si>
  <si>
    <t>RTM → Verdict is computed: No coverage · Not run · In progress · Fail (any linked case failed) · Pass (all linked cases passed or N/A).</t>
  </si>
  <si>
    <t>Example of a filled row</t>
  </si>
  <si>
    <t>ID FR-02 · Status Fail · Actual Result: 'Guests = 9 accepted, calendar opened' · Defect / Finding ID F-03 · Tester M. Balidio · Date Executed 2026-10-08 · Build / Commit 010694c · Remarks: 'Matches known finding; SRS BR Party Size requires 10–50'</t>
  </si>
  <si>
    <t>Test Execution Summary</t>
  </si>
  <si>
    <t>Suite</t>
  </si>
  <si>
    <t>Total</t>
  </si>
  <si>
    <t>Pass</t>
  </si>
  <si>
    <t>Fail</t>
  </si>
  <si>
    <t>Blocked</t>
  </si>
  <si>
    <t>N/A</t>
  </si>
  <si>
    <t>Not Run</t>
  </si>
  <si>
    <t>Executed %</t>
  </si>
  <si>
    <t>Pass rate</t>
  </si>
  <si>
    <t>Smoke</t>
  </si>
  <si>
    <t>Feature</t>
  </si>
  <si>
    <t>Non-functional</t>
  </si>
  <si>
    <t>Role matrix</t>
  </si>
  <si>
    <t>DB / Security</t>
  </si>
  <si>
    <t>By priority</t>
  </si>
  <si>
    <t>Priority</t>
  </si>
  <si>
    <t>P1</t>
  </si>
  <si>
    <t>P2</t>
  </si>
  <si>
    <t>30-minute subset</t>
  </si>
  <si>
    <t>Cases in subset</t>
  </si>
  <si>
    <t>Executed</t>
  </si>
  <si>
    <t>Failed</t>
  </si>
  <si>
    <t>Requirement coverage</t>
  </si>
  <si>
    <t>Requirements traced</t>
  </si>
  <si>
    <t>With ≥ 1 test case</t>
  </si>
  <si>
    <t>Coverage %</t>
  </si>
  <si>
    <t>Verdict: Pass</t>
  </si>
  <si>
    <t>Verdict: Fail</t>
  </si>
  <si>
    <t>Verdict: In progress</t>
  </si>
  <si>
    <t>Verdict: Not run</t>
  </si>
  <si>
    <t>Verdict: No coverage</t>
  </si>
  <si>
    <t>Status</t>
  </si>
  <si>
    <t>Open</t>
  </si>
  <si>
    <t>In progress</t>
  </si>
  <si>
    <t>Fixed</t>
  </si>
  <si>
    <t>Verified</t>
  </si>
  <si>
    <t>Won't fix</t>
  </si>
  <si>
    <t>SRS to update</t>
  </si>
  <si>
    <t>TC ID</t>
  </si>
  <si>
    <t>Role</t>
  </si>
  <si>
    <t>Precondition</t>
  </si>
  <si>
    <t>Test Steps</t>
  </si>
  <si>
    <t>Expected Result</t>
  </si>
  <si>
    <t>SRS Reference</t>
  </si>
  <si>
    <t>Known Finding</t>
  </si>
  <si>
    <t>Outlook</t>
  </si>
  <si>
    <t>30-min</t>
  </si>
  <si>
    <t>Actual Result</t>
  </si>
  <si>
    <t>Defect / Finding ID</t>
  </si>
  <si>
    <t>Tester</t>
  </si>
  <si>
    <t>Date Executed</t>
  </si>
  <si>
    <t>Build / Commit</t>
  </si>
  <si>
    <t>Remarks</t>
  </si>
  <si>
    <t>S-01</t>
  </si>
  <si>
    <t>Smoke (end-to-end)</t>
  </si>
  <si>
    <t>See steps</t>
  </si>
  <si>
    <t>Accounts and dates from §0 of the suite</t>
  </si>
  <si>
    <t>In a repo checkout run npm run test:roles and then npm run test:booking-time.</t>
  </si>
  <si>
    <t>Output shows roles test passed: 99 checks and booking time test passed: 8 checks.</t>
  </si>
  <si>
    <t>—</t>
  </si>
  <si>
    <t>REQ-ADM-001, BR-01</t>
  </si>
  <si>
    <t>Expected to pass</t>
  </si>
  <si>
    <t>Y</t>
  </si>
  <si>
    <t>roles test passed: 99 checks; booking time test passed: 8 checks</t>
  </si>
  <si>
    <t>Claude (automated, no account)</t>
  </si>
  <si>
    <t>Live (Railway main); repo db90eeb</t>
  </si>
  <si>
    <t>S-02</t>
  </si>
  <si>
    <t>Signed out, open /. Click header Catering, then Function Rooms, then Delivery.</t>
  </si>
  <si>
    <t>Each page renders with no error banner. The header shows Sign In / Log In.</t>
  </si>
  <si>
    <t>UR-CUST</t>
  </si>
  <si>
    <t>N</t>
  </si>
  <si>
    <t>S-03</t>
  </si>
  <si>
    <t>Signed out, go to /operations.</t>
  </si>
  <si>
    <t>Redirected to / (no staff UI flashes).</t>
  </si>
  <si>
    <t>REQ-ADM-001</t>
  </si>
  <si>
    <t>S-04</t>
  </si>
  <si>
    <t>Signed out, open /delivery/order. Click Buttered Chicken, add Half ×1, click Done · 1 selected, then click Place order · ₱….</t>
  </si>
  <si>
    <t>The Sign In modal opens. No order is created.</t>
  </si>
  <si>
    <t>S-05</t>
  </si>
  <si>
    <t>In that modal click the Log In tab, enter CUST email and password, and submit.</t>
  </si>
  <si>
    <t>The modal closes and you are signed in as Juan dela Cruz. The cart is kept and the delivery details modal opens automatically with the name prefilled. If it doesn't, click Place order again and log it as a P2 defect.</t>
  </si>
  <si>
    <t>S-06</t>
  </si>
  <si>
    <t>Enter phone 09171234567 and the valid address. Payment: Cash on delivery. Click Place order.</t>
  </si>
  <si>
    <t>The confirmation screen shows the tracking reference CAP-1xxx. Note it as REF-D.</t>
  </si>
  <si>
    <t>REQ-DEL-004, SEQ-DEL</t>
  </si>
  <si>
    <t>S-07</t>
  </si>
  <si>
    <t>Go to /catering/buffet. Select Package A, click Proceed →, pick BUF at 12:00 PM (Guests 10), and confirm.</t>
  </si>
  <si>
    <t>The success panel shows Booking Reference CAP- followed by 16 characters. Note it as REF-B.</t>
  </si>
  <si>
    <t>UR-CUST, BR-01, BRIEF</t>
  </si>
  <si>
    <t>S-08</t>
  </si>
  <si>
    <t>Go to /catering/packed. Add Adobong Manok (defaults to 10 packs), click Proceed, pick BUF at 1:00 PM, and confirm.</t>
  </si>
  <si>
    <t>Success with a CAP-… reference. The summary shows 10 packs, subtotal ₱1,200, Delivery fee ₱0, total ₱1,200. (Packed meals carry no fee in the app; delivery orders carry ₱60.)</t>
  </si>
  <si>
    <t>BRIEF</t>
  </si>
  <si>
    <t>S-09</t>
  </si>
  <si>
    <t>Go to /function-rooms/reserve. Fill Name, 09171234567, email, Guests 20, Birthday Celebration. Click Check Availability →, pick FR at 6:00 PM, and confirm.</t>
  </si>
  <si>
    <t>Success with reference REF-F. Slots before D+2 are disabled.</t>
  </si>
  <si>
    <t>REQ-RES-001, BR-01, BR-02</t>
  </si>
  <si>
    <t>S-10</t>
  </si>
  <si>
    <t>Open /profile.</t>
  </si>
  <si>
    <t>My bookings lists REF-B, the packed booking and REF-F, all Pending. The delivery tracker with REF-D shows Preparing.</t>
  </si>
  <si>
    <t>REQ-DEL-004</t>
  </si>
  <si>
    <t>S-11</t>
  </si>
  <si>
    <t>Go to /inquiries. Name Juan dela Cruz, email, Type Catering, Message Do you cater on Sundays?. Click Submit.</t>
  </si>
  <si>
    <t>Success message "Thank you for your inquiry." plus an AI reply (or the fallback text).</t>
  </si>
  <si>
    <t>REQ-INQ-001, SEQ-INQ</t>
  </si>
  <si>
    <t>S-12</t>
  </si>
  <si>
    <t>Log out (header → logout → confirm). Log in as FOH.</t>
  </si>
  <si>
    <t>You land on /operations. Customer nav links are not shown.</t>
  </si>
  <si>
    <t>S-13</t>
  </si>
  <si>
    <t>On /operations, find REF-F under Function room bookings. Open it, set Status Confirmed, click Save changes, then open the Timeline tab.</t>
  </si>
  <si>
    <t>The row shows Confirmed. The timeline has a new Confirmed entry. Function pending drops by 1.</t>
  </si>
  <si>
    <t>REQ-ADM-002, SEQ-RES</t>
  </si>
  <si>
    <t>S-14</t>
  </si>
  <si>
    <t>On /operations, find the S-11 inquiry in the Inquiries panel (wait up to 10 s).</t>
  </si>
  <si>
    <t>The inquiry is listed (status Resolved because it was auto-answered; see F-07).</t>
  </si>
  <si>
    <t>REQ-ADM-002</t>
  </si>
  <si>
    <t>F-07</t>
  </si>
  <si>
    <t>Known deviation</t>
  </si>
  <si>
    <t>S-15</t>
  </si>
  <si>
    <t>Go to /delivery/staff. On REF-D set Assign rider = Jun Reyes and Change status = Ready for pickup.</t>
  </si>
  <si>
    <t>Both changes save instantly. The Jun Reyes rider card shows 1 active delivery.</t>
  </si>
  <si>
    <t>S-16</t>
  </si>
  <si>
    <t>Go to /inquiry-bot.</t>
  </si>
  <si>
    <t>The page loads with the Needs reply filter active, showing a list or "No Messenger inquiries yet."</t>
  </si>
  <si>
    <t>REQ-INQ-002</t>
  </si>
  <si>
    <t>S-17</t>
  </si>
  <si>
    <t>Log out. Log in as RIDER.</t>
  </si>
  <si>
    <t>You land on /delivery/rider. The header shows Jun Reyes. REF-D appears with the Start delivery button.</t>
  </si>
  <si>
    <t>UR-RIDER</t>
  </si>
  <si>
    <t>S-18</t>
  </si>
  <si>
    <t>Click Start delivery, then Mark delivered. Then go to /operations.</t>
  </si>
  <si>
    <t>Status goes Out for delivery → Delivered. /operations redirects back to /delivery/rider. (The SRS limits riders to setting Delivered; Start delivery is a known deviation → F-25.)</t>
  </si>
  <si>
    <t>UR-RIDER, REQ-ADM-001</t>
  </si>
  <si>
    <t>F-25</t>
  </si>
  <si>
    <t>S-19</t>
  </si>
  <si>
    <t>Log out. Log in as CUST, open /profile, and search REF-D in the tracker.</t>
  </si>
  <si>
    <t>The tracker shows Delivered with all four steps complete.</t>
  </si>
  <si>
    <t>S-20</t>
  </si>
  <si>
    <t>curl -s -o /dev/null -w '%{http_code}' 'https://capitolrestaurant.up.railway.app/inquiry-bot?hub.mode=subscribe&amp;hub.verify_token=WRONG&amp;hub.challenge=42'</t>
  </si>
  <si>
    <t>403</t>
  </si>
  <si>
    <t>REQ-INQ-002, CON-01</t>
  </si>
  <si>
    <t>HTTP 403</t>
  </si>
  <si>
    <t>AU-01</t>
  </si>
  <si>
    <t>Auth &amp; access</t>
  </si>
  <si>
    <t>Guest</t>
  </si>
  <si>
    <t>New email never used</t>
  </si>
  <si>
    <t>Header → Sign In / Log In → Sign In tab → enter qa.new+1@&lt;domain&gt; → Email me a magic link → open the email → click the link</t>
  </si>
  <si>
    <t>Back on the site, signed in. A profiles row exists with role = customer and display name = email local-part</t>
  </si>
  <si>
    <t>§5.3 Auth, REQ-ADM-001</t>
  </si>
  <si>
    <t>REQ-ADM-001, NFR-SEC-02</t>
  </si>
  <si>
    <t>AU-02</t>
  </si>
  <si>
    <t>CUST</t>
  </si>
  <si>
    <t>Log In tab → correct email + wrong password → submit</t>
  </si>
  <si>
    <t>Inline error (Invalid login credentials), modal stays open, not signed in</t>
  </si>
  <si>
    <t>§5.3</t>
  </si>
  <si>
    <t>NFR-SEC-02</t>
  </si>
  <si>
    <t>AU-03</t>
  </si>
  <si>
    <t>Google account</t>
  </si>
  <si>
    <t>Sign In tab → Google button → choose account</t>
  </si>
  <si>
    <t>Redirected back to the original page, signed in as customer</t>
  </si>
  <si>
    <t>AU-04</t>
  </si>
  <si>
    <t>Log In tab → blank email → submit. Then email juan@ with any password</t>
  </si>
  <si>
    <t>"Enter your email address", then an inline error from Supabase. Not signed in</t>
  </si>
  <si>
    <t>AU-05</t>
  </si>
  <si>
    <t>FOH</t>
  </si>
  <si>
    <t>Signed out</t>
  </si>
  <si>
    <t>Log In as FOH from /catering</t>
  </si>
  <si>
    <t>Redirected to /operations (role home)</t>
  </si>
  <si>
    <t>AU-06</t>
  </si>
  <si>
    <t>RIDER</t>
  </si>
  <si>
    <t>Log In as RIDER from /</t>
  </si>
  <si>
    <t>Redirected to /delivery/rider</t>
  </si>
  <si>
    <t>§2.3 Delivery Rider</t>
  </si>
  <si>
    <t>AU-07</t>
  </si>
  <si>
    <t>Signed in</t>
  </si>
  <si>
    <t>Header → logout icon → Cancel, then logout → confirm</t>
  </si>
  <si>
    <t>Cancel keeps the session. Confirm signs out and navigates to /. Visiting /profile then shows "Sign in to view and manage your profile details."</t>
  </si>
  <si>
    <t>AU-08</t>
  </si>
  <si>
    <t>any</t>
  </si>
  <si>
    <t>Hard-refresh (Ctrl+Shift+R) on a guarded page</t>
  </si>
  <si>
    <t>Loading account... then the same page. No redirect flicker to /</t>
  </si>
  <si>
    <t>AU-09</t>
  </si>
  <si>
    <t>Self-signup: confirm that metadata cannot grant a staff role (covered by supabase/tests/roles_permissions.sql). Manual alternative: sign up via magic link and read the profiles.role value</t>
  </si>
  <si>
    <t>role = customer</t>
  </si>
  <si>
    <t>AU-10</t>
  </si>
  <si>
    <t>Throwaway user with no profiles row</t>
  </si>
  <si>
    <t>Delete the throwaway user's profiles row (an invalid role can't be set because of the check constraint)</t>
  </si>
  <si>
    <t>Log in as that user</t>
  </si>
  <si>
    <t>"Account access unavailable" page, no data shown</t>
  </si>
  <si>
    <t>AU-11</t>
  </si>
  <si>
    <t>List every self-service way to create an account (Sign In tab: magic link, Google). For each, check whether the account becomes usable only after the email is proven (link clicked / Google-verified). Then in Supabase → Authentication → Users, confirm the new user has email_confirmed_at set</t>
  </si>
  <si>
    <t>Every self-signup path verifies the email before a session exists. No path creates a signed-in, unverified account</t>
  </si>
  <si>
    <t>§5.3 (customers must verify via email)</t>
  </si>
  <si>
    <t>CT-01</t>
  </si>
  <si>
    <t>Catering</t>
  </si>
  <si>
    <t>/catering/buffet → select Package B → Proceed →</t>
  </si>
  <si>
    <t>Sign-in modal opens. Calendar does not open</t>
  </si>
  <si>
    <t>§2.3 (sign-in required for booking)</t>
  </si>
  <si>
    <t>CT-02</t>
  </si>
  <si>
    <t>/catering/buffet without selecting a package</t>
  </si>
  <si>
    <t>Proceed → disabled; prompt "Please select a package to continue."</t>
  </si>
  <si>
    <t>CT-03</t>
  </si>
  <si>
    <t>Buffet → Package A → Proceed → navigate the calendar to the current month</t>
  </si>
  <si>
    <t>Today and D+1 are disabled. D+2 is enabled. Note "Reservations must be made at least 2 days in advance."</t>
  </si>
  <si>
    <t>BR Lead Time</t>
  </si>
  <si>
    <t>BR-01</t>
  </si>
  <si>
    <t>CT-04</t>
  </si>
  <si>
    <t>Buffet → Package A → Proceed → open the time dropdown</t>
  </si>
  <si>
    <t>Exactly 22 options, 9:00 AM … 7:30 PM, in 30-min steps. No 8:00 PM</t>
  </si>
  <si>
    <t>— (brief: 09:00–19:30, 30-min slots)</t>
  </si>
  <si>
    <t>CT-05</t>
  </si>
  <si>
    <t>Buffet modal: Guests 9, then 13 → confirm</t>
  </si>
  <si>
    <t>Validation error (min. 10, max. 12). Not submitted</t>
  </si>
  <si>
    <t>— (package rule, catalog minPax/maxPax)</t>
  </si>
  <si>
    <t>CT-06</t>
  </si>
  <si>
    <t>Buffet modal: Contact 0917123456 → confirm</t>
  </si>
  <si>
    <t>Phone error. Not submitted</t>
  </si>
  <si>
    <t>CT-07</t>
  </si>
  <si>
    <t>/catering/packed → add Lechon Kawali → click − once (9 packs)</t>
  </si>
  <si>
    <t>Error "Each meal type requires at least 10 packs."; Proceed disabled. Pressing + back to 10 re-enables it</t>
  </si>
  <si>
    <t>— (packed-meal guideline)</t>
  </si>
  <si>
    <t>CT-08</t>
  </si>
  <si>
    <t>Packed: add Adobong Manok and Lechon Kawali at 10 each</t>
  </si>
  <si>
    <t>Subtotal ₱2,650 (10 × ₱120 + 10 × ₱145), Delivery fee ₱0, Total ₱2,650. The fee is hard-coded to 0 for packed meals (CateringPacked.tsx:59); the catalog fee of ₱60 applies only to delivery orders. Confirm with the PO that this is intended</t>
  </si>
  <si>
    <t>— (packed-meal pricing)</t>
  </si>
  <si>
    <t>CT-09</t>
  </si>
  <si>
    <t>CUST + CUST-B</t>
  </si>
  <si>
    <t>Both on Buffet modal, BrA and BrB, same date COL</t>
  </si>
  <si>
    <t>Both pick 10:00 AM. CUST confirms first, then CUST-B confirms</t>
  </si>
  <si>
    <t>CUST succeeds. CUST-B gets "That time was just booked. Choose another available time." and the 10:00 AM option becomes disabled</t>
  </si>
  <si>
    <t>REQ-RES-002 (same mechanism), §4.2.2 step 5</t>
  </si>
  <si>
    <t>REQ-RES-002, SEQ-RES</t>
  </si>
  <si>
    <t>CT-10</t>
  </si>
  <si>
    <t>A buffet booking exists at BUF 12:00 PM</t>
  </si>
  <si>
    <t>Packed booking at BUF 12:00 PM</t>
  </si>
  <si>
    <t>Succeeds: buffet and packed have separate slot inventories (kind is part of the unique key)</t>
  </si>
  <si>
    <t>— (confirm the intended behavior with the PO)</t>
  </si>
  <si>
    <t>CT-11</t>
  </si>
  <si>
    <t>Buffet modal → Name &lt;script&gt;alert(1)&lt;/script&gt;. Then, on /function-rooms/reserve, put the same string in Special Requests and book. Open the booking as FOH</t>
  </si>
  <si>
    <t>The name is rejected. Special Requests is saved and rendered as plain text in Operations (no alert)</t>
  </si>
  <si>
    <t>§5.2 Input sanitization</t>
  </si>
  <si>
    <t>NFR-SAFE-01</t>
  </si>
  <si>
    <t>CT-12</t>
  </si>
  <si>
    <t>Booking just created</t>
  </si>
  <si>
    <t>Open /profile</t>
  </si>
  <si>
    <t>The booking shows package, date/time, Pending and a timeline with Pending</t>
  </si>
  <si>
    <t>FR-01</t>
  </si>
  <si>
    <t>Function rooms</t>
  </si>
  <si>
    <t>/function-rooms/reserve → leave every field blank → Check Availability →</t>
  </si>
  <si>
    <t>Errors on Name, Contact, Email, Guests and Event Type. Calendar does not open</t>
  </si>
  <si>
    <t>§5.4 Usability</t>
  </si>
  <si>
    <t>NFR-USE-01</t>
  </si>
  <si>
    <t>FR-02</t>
  </si>
  <si>
    <t>Guests 9 with all other fields valid → Check Availability</t>
  </si>
  <si>
    <t>SRS expects rejection (min 10). The app accepts (min 1) → log F-03</t>
  </si>
  <si>
    <t>BR Party Size</t>
  </si>
  <si>
    <t>BR-02</t>
  </si>
  <si>
    <t>F-03</t>
  </si>
  <si>
    <t>FR-03</t>
  </si>
  <si>
    <t>Guests 31, then 50</t>
  </si>
  <si>
    <t>SRS expects 50 to be accepted. The app rejects anything above 30 ("This room holds up to 30 guests") → F-03</t>
  </si>
  <si>
    <t>FR-04</t>
  </si>
  <si>
    <t>Guests 10, then 30 (boundaries)</t>
  </si>
  <si>
    <t>Both accepted</t>
  </si>
  <si>
    <t>FR-05</t>
  </si>
  <si>
    <t>Open Event Type</t>
  </si>
  <si>
    <t>Options: Birthday Celebration, Debut / 18th Birthday, Wedding Reception, Corporate Event, Family Reunion, Christmas Party, Seminar / Conference, Other</t>
  </si>
  <si>
    <t>§5.4</t>
  </si>
  <si>
    <t>FR-06</t>
  </si>
  <si>
    <t>Contact +639171234567</t>
  </si>
  <si>
    <t>Accepted (CONTACT_REGEX allows +639). Compare with DO-05 (delivery rejects it) → F-19</t>
  </si>
  <si>
    <t>F-19</t>
  </si>
  <si>
    <t>FR-07</t>
  </si>
  <si>
    <t>Valid form → calendar → try clicking D+1 and then D+2 at 9:00 AM</t>
  </si>
  <si>
    <t>D+1 is not selectable. D+2 is bookable and succeeds</t>
  </si>
  <si>
    <t>FR-08</t>
  </si>
  <si>
    <t>Both on the calendar for COL, BrA and BrB</t>
  </si>
  <si>
    <t>Both pick 2:00 PM. Confirm in A, then in B within 5 s</t>
  </si>
  <si>
    <t>A succeeds. B gets "That time was just booked…". In B, without a refresh, 2:00 PM is greyed out (Realtime)</t>
  </si>
  <si>
    <t>REQ-RES-001, REQ-RES-002, §4.2.2-5</t>
  </si>
  <si>
    <t>REQ-RES-001, REQ-RES-002, SEQ-RES</t>
  </si>
  <si>
    <t>FR-09</t>
  </si>
  <si>
    <t>All 22 slots of a date taken (do it on staging, or reuse the DB-08 script)</t>
  </si>
  <si>
    <t>Open the calendar</t>
  </si>
  <si>
    <t>That date is shown as reserved/disabled</t>
  </si>
  <si>
    <t>REQ-RES-001</t>
  </si>
  <si>
    <t>FR-10</t>
  </si>
  <si>
    <t>Look for the deposit amount or a payment step before confirmation</t>
  </si>
  <si>
    <t>SRS: deposit via payment gateway, slot locked for 10 min. App: none; the booking goes straight to Pending → F-04 / F-05</t>
  </si>
  <si>
    <t>REQ-RES-003, REQ-RES-005</t>
  </si>
  <si>
    <t>F-04, F-05</t>
  </si>
  <si>
    <t>FR-11</t>
  </si>
  <si>
    <t>Booking at COL 2:00 PM exists</t>
  </si>
  <si>
    <t>/operations → open the booking → Status Cancelled → Save. As CUST-B, retry COL 2:00 PM</t>
  </si>
  <si>
    <t>The slot is released and CUST-B's booking succeeds</t>
  </si>
  <si>
    <t>REQ-RES-001, §4.2.2-5</t>
  </si>
  <si>
    <t>REQ-RES-001, SEQ-RES</t>
  </si>
  <si>
    <t>FR-12</t>
  </si>
  <si>
    <t>Booking confirmation email</t>
  </si>
  <si>
    <t>Look for a cancellation link in email</t>
  </si>
  <si>
    <t>SRS: self-cancel link up to 2 days before. App: no email or link → F-06</t>
  </si>
  <si>
    <t>BR Cancellation, §3.3 SMTP</t>
  </si>
  <si>
    <t>BR-04, IF-SW-01</t>
  </si>
  <si>
    <t>F-06</t>
  </si>
  <si>
    <t>FR-13</t>
  </si>
  <si>
    <t>Look for a way to block out a date (maintenance)</t>
  </si>
  <si>
    <t>SRS: manager blockout. App: reserved_dates is read-only in the UI; it can only be changed in the DB → F-14</t>
  </si>
  <si>
    <t>REQ-RES-004</t>
  </si>
  <si>
    <t>F-14</t>
  </si>
  <si>
    <t>FR-14</t>
  </si>
  <si>
    <t>Check the booking form for a privacy consent checkbox</t>
  </si>
  <si>
    <t>SRS: explicit consent checkbox. App: none → F-15</t>
  </si>
  <si>
    <t>§5.3 Data Privacy</t>
  </si>
  <si>
    <t>NFR-SEC-01</t>
  </si>
  <si>
    <t>F-15</t>
  </si>
  <si>
    <t>FR-15</t>
  </si>
  <si>
    <t>CUST + FOH</t>
  </si>
  <si>
    <t>Book any slot. Note the status shown on the success panel and in /operations. Look for a duration field on the form or calendar. Repeat FR-08 and read the collision message</t>
  </si>
  <si>
    <t>SRS: the customer chooses a duration; the status is Pending Deposit until paid; collisions show "Already Reserved". App: no duration (fixed slot); status Pending; message "That time was just booked…" → F-28</t>
  </si>
  <si>
    <t>§4.2.2-1, -4, -5</t>
  </si>
  <si>
    <t>SEQ-RES</t>
  </si>
  <si>
    <t>F-28</t>
  </si>
  <si>
    <t>FR-16</t>
  </si>
  <si>
    <t>A past or same-day booking exists</t>
  </si>
  <si>
    <t>/operations → open the booking → look for a way to mark it Late cancellation or No-show</t>
  </si>
  <si>
    <t>SRS: staff can flag late cancellations and no-shows. App: the status list is Pending / Confirmed / Completed / Cancelled; there is no late-cancellation or no-show flag → F-29</t>
  </si>
  <si>
    <t>BR Cancellation</t>
  </si>
  <si>
    <t>BR-04</t>
  </si>
  <si>
    <t>F-29</t>
  </si>
  <si>
    <t>DO-01</t>
  </si>
  <si>
    <t>Delivery (customer)</t>
  </si>
  <si>
    <t>/delivery/order → category chips All, Chicken, Pancit sa Bilao</t>
  </si>
  <si>
    <t>Items filter by category. Bilao items appear as one card per group (e.g. Bihon Bilao)</t>
  </si>
  <si>
    <t>REQ-DEL-001</t>
  </si>
  <si>
    <t>DO-02</t>
  </si>
  <si>
    <t>Click Bihon Bilao → variant modal → add XS (3–5 pax) ×1 and Large (18–20 pax) ×2 → Done · 3 selected</t>
  </si>
  <si>
    <t>Cart has 2 lines: ₱430 ×1 and ₱950 ×2. Subtotal ₱2,330 + ₱60 fee = ₱2,390</t>
  </si>
  <si>
    <t>REQ-DEL-002</t>
  </si>
  <si>
    <t>DO-03</t>
  </si>
  <si>
    <t>Fried Chicken → Half / Whole picker</t>
  </si>
  <si>
    <t>Both variants are listed with their own prices. Done is disabled until quantity ≥ 1</t>
  </si>
  <si>
    <t>DO-04</t>
  </si>
  <si>
    <t>Increase one item up to the max</t>
  </si>
  <si>
    <t>+ disables at 20 (MAX_QUANTITY_PER_ITEM)</t>
  </si>
  <si>
    <t>DO-05</t>
  </si>
  <si>
    <t>Cart not empty</t>
  </si>
  <si>
    <t>Details modal: phone 0917123456, then 08171234567, then +639171234567</t>
  </si>
  <si>
    <t>Each one is rejected with "Enter an 11-digit number starting with 09"</t>
  </si>
  <si>
    <t>DO-06</t>
  </si>
  <si>
    <t>Details: address "   "</t>
  </si>
  <si>
    <t>"Delivery address is required"</t>
  </si>
  <si>
    <t>§4.3.2-2</t>
  </si>
  <si>
    <t>SEQ-DEL</t>
  </si>
  <si>
    <t>DO-07</t>
  </si>
  <si>
    <t>Cart empty</t>
  </si>
  <si>
    <t>Click Place order</t>
  </si>
  <si>
    <t>"Select at least one item to order"; no modal</t>
  </si>
  <si>
    <t>DO-08</t>
  </si>
  <si>
    <t>Place a valid order. Note the reference. Then open BrB, log in as CUST, go to /profile and search the same reference</t>
  </si>
  <si>
    <t>SRS expects the order to be visible on any device. The app shows "We could not find that reference." in BrB → F-01</t>
  </si>
  <si>
    <t>F-01</t>
  </si>
  <si>
    <t>DO-09</t>
  </si>
  <si>
    <t>Two different browsers, both with clean storage</t>
  </si>
  <si>
    <t>Each places one order</t>
  </si>
  <si>
    <t>Expected: unique references. App: both get the same CAP-10xx (client-side counter) → F-02</t>
  </si>
  <si>
    <t>F-02</t>
  </si>
  <si>
    <t>DO-10</t>
  </si>
  <si>
    <t>Payment method options</t>
  </si>
  <si>
    <t>Cash on delivery / GCash / Card. No gateway step happens for GCash or Card, and the SRS names PayMaya, which the app does not offer → F-04</t>
  </si>
  <si>
    <t>REQ-DEL-003</t>
  </si>
  <si>
    <t>F-04</t>
  </si>
  <si>
    <t>DO-11</t>
  </si>
  <si>
    <t>Order placed</t>
  </si>
  <si>
    <t>Confirmation → Track this order</t>
  </si>
  <si>
    <t>Opens /profile?reference=CAP-… with the order prefilled and status Preparing</t>
  </si>
  <si>
    <t>DO-12</t>
  </si>
  <si>
    <t>Search the menu for zzz</t>
  </si>
  <si>
    <t>Empty state, no crash</t>
  </si>
  <si>
    <t>DO-13</t>
  </si>
  <si>
    <t>/delivery/order → open 3 items from different categories (e.g. Buttered Chicken, Bihon Bilao, a Kabayo item)</t>
  </si>
  <si>
    <t>Each shows a category, a price and a description. Photos: items without one show the "No image available" placeholder (count them). SRS: allergen/dietary tags. App: none → F-23</t>
  </si>
  <si>
    <t>F-23</t>
  </si>
  <si>
    <t>DO-14</t>
  </si>
  <si>
    <t>Cart has 2 different items</t>
  </si>
  <si>
    <t>Look for a per-item note (e.g. "no onions" on one dish). Then open the details modal and use Notes (optional)</t>
  </si>
  <si>
    <t>SRS: customisation notes per item. App: only one order-level Notes field; it is saved with the order and shown to staff in the order detail → F-24 (partial)</t>
  </si>
  <si>
    <t>REQ-DEL-002, §4.3.2-1</t>
  </si>
  <si>
    <t>REQ-DEL-002, SEQ-DEL</t>
  </si>
  <si>
    <t>F-24</t>
  </si>
  <si>
    <t>DS-01</t>
  </si>
  <si>
    <t>Delivery staff &amp; rider</t>
  </si>
  <si>
    <t>Order REF-D in BrA</t>
  </si>
  <si>
    <t>/delivery/staff → status chips → Preparing</t>
  </si>
  <si>
    <t>The list filters, and counts match</t>
  </si>
  <si>
    <t>REQ-DEL-004, REQ-ADM-002</t>
  </si>
  <si>
    <t>DS-02</t>
  </si>
  <si>
    <t>REF-D → Change status → Out for delivery. Then, as CUST in the same browser, open the profile tracker</t>
  </si>
  <si>
    <t>The tracker shows Out for delivery</t>
  </si>
  <si>
    <t>DS-03</t>
  </si>
  <si>
    <t>Add rider: name Jun Reyes (duplicate)</t>
  </si>
  <si>
    <t>"A rider with this name already exists"</t>
  </si>
  <si>
    <t>DS-04</t>
  </si>
  <si>
    <t>Add rider Ana Lim / 09181112222 → assign her to an order → delete her</t>
  </si>
  <si>
    <t>The order shows Unassigned again</t>
  </si>
  <si>
    <t>DS-05</t>
  </si>
  <si>
    <t>/delivery/items → Manage categories → hide Kabayo → open /delivery/order as CUST in the same browser</t>
  </si>
  <si>
    <t>Kabayo items are hidden from the customer menu</t>
  </si>
  <si>
    <t>REQ-ADM-003</t>
  </si>
  <si>
    <t>DS-06</t>
  </si>
  <si>
    <t>DS-05 done</t>
  </si>
  <si>
    <t>Open /delivery/order in BrB</t>
  </si>
  <si>
    <t>SRS expects the change on the public storefront. Kabayo is still visible in BrB (localStorage only) → F-09</t>
  </si>
  <si>
    <t>REQ-ADM-003, §4.4.2-4</t>
  </si>
  <si>
    <t>REQ-ADM-003, SEQ-ADM</t>
  </si>
  <si>
    <t>F-09</t>
  </si>
  <si>
    <t>DS-07</t>
  </si>
  <si>
    <t>Add item QA Pancit / price 0</t>
  </si>
  <si>
    <t>Validation rejects the price</t>
  </si>
  <si>
    <t>DS-08</t>
  </si>
  <si>
    <t>Open /delivery/items as FOH</t>
  </si>
  <si>
    <t>SRS: only Manager and Admin may change menu and prices. App: FOH has full edit access → F-08</t>
  </si>
  <si>
    <t>BR Menu &amp; Pricing Authority</t>
  </si>
  <si>
    <t>BR-03</t>
  </si>
  <si>
    <t>F-08</t>
  </si>
  <si>
    <t>DS-09</t>
  </si>
  <si>
    <t>Order assigned to Jun Reyes, status Preparing</t>
  </si>
  <si>
    <t>/delivery/rider</t>
  </si>
  <si>
    <t>The order is listed with no action button (rider actions start at Ready for pickup)</t>
  </si>
  <si>
    <t>§2.3 Rider</t>
  </si>
  <si>
    <t>DS-10</t>
  </si>
  <si>
    <t>Status filter chips</t>
  </si>
  <si>
    <t>The counts for Out for delivery and Delivered match the list</t>
  </si>
  <si>
    <t>DS-11</t>
  </si>
  <si>
    <t>RIDER (display name not a rider record, e.g. QA Rider)</t>
  </si>
  <si>
    <t>Open /delivery/rider</t>
  </si>
  <si>
    <t>Expected: "No rider record assigned". App: falls back to the first rider (Jun Reyes) and shows their orders → F-13</t>
  </si>
  <si>
    <t>§2.3 (assigned orders only)</t>
  </si>
  <si>
    <t>F-13</t>
  </si>
  <si>
    <t>DS-12</t>
  </si>
  <si>
    <t>No orders assigned</t>
  </si>
  <si>
    <t>Open the page</t>
  </si>
  <si>
    <t>An empty state is shown, not an error</t>
  </si>
  <si>
    <t>DS-13</t>
  </si>
  <si>
    <t>Order assigned to Jun Reyes, status Ready for pickup</t>
  </si>
  <si>
    <t>/delivery/rider → list the actions offered</t>
  </si>
  <si>
    <t>SRS: the rider may only set Delivered. App: the rider can also move Ready for pickup → Out for delivery (Start delivery) → F-25</t>
  </si>
  <si>
    <t>DS-14</t>
  </si>
  <si>
    <t>/delivery/staff open in BrA with sound on</t>
  </si>
  <si>
    <t>In another tab of BrA (same profile, see F-01), CUST places a new order. Return to the staff tab</t>
  </si>
  <si>
    <t>SRS: an audible chime plus the new order docket, without a refresh. App: no sound, and the order appears only after a manual reload (no polling or storage listener on /delivery/staff) → F-26</t>
  </si>
  <si>
    <t>§4.3.2-4, §3.1 alerts</t>
  </si>
  <si>
    <t>IF-UI-01, SEQ-DEL</t>
  </si>
  <si>
    <t>F-01, F-26</t>
  </si>
  <si>
    <t>IQ-01</t>
  </si>
  <si>
    <t>Inquiries</t>
  </si>
  <si>
    <t>Guest (signed out)</t>
  </si>
  <si>
    <t>/inquiries → submit a valid General Question</t>
  </si>
  <si>
    <t>SRS: sign-in required (REQ-INQ-001). App: accepted from a guest, user_id = null → F-07</t>
  </si>
  <si>
    <t>REQ-INQ-001, §2.3</t>
  </si>
  <si>
    <t>REQ-INQ-001, UR-CUST</t>
  </si>
  <si>
    <t>IQ-02</t>
  </si>
  <si>
    <t>Submit with an empty Message</t>
  </si>
  <si>
    <t>Browser required validation blocks the submit</t>
  </si>
  <si>
    <t>REQ-INQ-001</t>
  </si>
  <si>
    <t>IQ-03</t>
  </si>
  <si>
    <t>Run curl -X POST $SITE/inquiries -H 'Content-Type: application/json' -d '{"name":"a","email":"bad","type":"x","message":"y"}'</t>
  </si>
  <si>
    <t>HTTP 400 "Please provide a valid name, email, inquiry type, and message."</t>
  </si>
  <si>
    <t>HTTP 400 {"error":"Please provide a valid name, email, inquiry type, and message."}</t>
  </si>
  <si>
    <t>IQ-04</t>
  </si>
  <si>
    <t>Type Delivery, message I would like to order 20 packs of Adobong Manok for Friday</t>
  </si>
  <si>
    <t>Success "Your request was sent to our staff.". The DB row has type = Manual Order Request, status = New</t>
  </si>
  <si>
    <t>REQ-INQ-001, §4.1.2-2</t>
  </si>
  <si>
    <t>IQ-05</t>
  </si>
  <si>
    <t>IQ-04 done</t>
  </si>
  <si>
    <t>/operations → Inquiries panel (wait ≤ 10 s, no refresh)</t>
  </si>
  <si>
    <t>The row appears with the Manual reply needed badge. New inquiries is incremented. (Arrives by 10-s polling; the SRS asks for push → F-27)</t>
  </si>
  <si>
    <t>REQ-ADM-002, §3.1 alerts, §3.4</t>
  </si>
  <si>
    <t>REQ-ADM-002, IF-UI-01, IF-COM-01</t>
  </si>
  <si>
    <t>F-27</t>
  </si>
  <si>
    <t>IQ-06</t>
  </si>
  <si>
    <t>Set the status → In progress, then Resolved. Refresh the page</t>
  </si>
  <si>
    <t>The status persists after the refresh. The badge disappears after leaving New</t>
  </si>
  <si>
    <t>REQ-INQ-004, §4.1.2-5</t>
  </si>
  <si>
    <t>REQ-INQ-004, SEQ-INQ</t>
  </si>
  <si>
    <t>IQ-07</t>
  </si>
  <si>
    <t>Informational inquiry What time do you open?</t>
  </si>
  <si>
    <t>Reply shown in about 30 s or less. The DB row status is Resolved immediately. SRS says it is created as New → F-07</t>
  </si>
  <si>
    <t>§4.1.2-2/3</t>
  </si>
  <si>
    <t>SEQ-INQ</t>
  </si>
  <si>
    <t>IQ-08</t>
  </si>
  <si>
    <t>No inquiries (staging)</t>
  </si>
  <si>
    <t>Open the Inquiries panel</t>
  </si>
  <si>
    <t>Empty state text, no spinner stuck</t>
  </si>
  <si>
    <t>IB-01</t>
  </si>
  <si>
    <t>Inquiry Bot</t>
  </si>
  <si>
    <t>≥ 1 Messenger question the bot could not answer (send Do you have halal certification? to the Page from a test FB account)</t>
  </si>
  <si>
    <t>Open /inquiry-bot</t>
  </si>
  <si>
    <t>The item appears under Needs reply (type Unanswered Question, status New) within 10 s</t>
  </si>
  <si>
    <t>IB-02</t>
  </si>
  <si>
    <t>Chips Needs reply / Requests / Resolved / All, plus the type dropdown</t>
  </si>
  <si>
    <t>Counts on the chips match the lists. Type filter narrows further. "No inquiries match these filters." when empty</t>
  </si>
  <si>
    <t>IB-03</t>
  </si>
  <si>
    <t>Search halal</t>
  </si>
  <si>
    <t>Only matching cards remain</t>
  </si>
  <si>
    <t>IB-04</t>
  </si>
  <si>
    <t>IB-01, within 24 h of the customer's message</t>
  </si>
  <si>
    <t>Reply on Messenger → type Yes, we are halal-friendly. — Capitol → Send</t>
  </si>
  <si>
    <t>Success banner. The test FB account receives the message. The card becomes Resolved with the reply text and time. The button now reads Reply again</t>
  </si>
  <si>
    <t>REQ-INQ-004</t>
  </si>
  <si>
    <t>IB-05</t>
  </si>
  <si>
    <t>A Messenger inquiry whose customer last wrote more than 24 h ago (prepare one the day before)</t>
  </si>
  <si>
    <t>Reply on Messenger → Send</t>
  </si>
  <si>
    <t>Error banner "Messenger did not accept the reply. Facebook only allows Page replies within 24 hours…". Status is unchanged</t>
  </si>
  <si>
    <t>IB-06</t>
  </si>
  <si>
    <t>New inquiry</t>
  </si>
  <si>
    <t>Mark in progress → Mark resolved → Reopen</t>
  </si>
  <si>
    <t>New → In progress → Resolved → In progress. Each change persists after a refresh</t>
  </si>
  <si>
    <t>IB-07</t>
  </si>
  <si>
    <t>Open the reply modal with an empty text</t>
  </si>
  <si>
    <t>Send disabled</t>
  </si>
  <si>
    <t>IB-08</t>
  </si>
  <si>
    <t>Look for the AI-drafted reply next to the inquiry</t>
  </si>
  <si>
    <t>SRS: AI draft shown and editable before sending. App: no draft; staff types from scratch → F-10</t>
  </si>
  <si>
    <t>REQ-INQ-003</t>
  </si>
  <si>
    <t>F-10</t>
  </si>
  <si>
    <t>IB-09</t>
  </si>
  <si>
    <t>curl -X PATCH $SITE/inquiries/&lt;id&gt;/status -H 'Content-Type: application/json' -d '{"status":"Resolved"}' (no token), then repeat with a CUST JWT in Authorization: Bearer</t>
  </si>
  <si>
    <t>401 Sign in required., then 403 Only staff, managers, or admins…</t>
  </si>
  <si>
    <t>No token → 401 'Sign in required.' (as expected). Bogus token → 401 'Session expired…'</t>
  </si>
  <si>
    <t>403 half needs a CUST JWT; QA accounts not created yet</t>
  </si>
  <si>
    <t>MA-01</t>
  </si>
  <si>
    <t>Messenger AI agent</t>
  </si>
  <si>
    <t>VERIFY_TOKEN from Railway variables</t>
  </si>
  <si>
    <t>curl '$SITE/inquiry-bot?hub.mode=subscribe&amp;hub.verify_token=&lt;TOKEN&gt;&amp;hub.challenge=4242'</t>
  </si>
  <si>
    <t>200, body 4242</t>
  </si>
  <si>
    <t>HTTP 200, body 4242. The token that worked is 'test-agent', the code's fallback, so VERIFY_TOKEN is not set on Railway</t>
  </si>
  <si>
    <t>F-18</t>
  </si>
  <si>
    <t>Handshake works, but with the default token; see F-18</t>
  </si>
  <si>
    <t>MA-02</t>
  </si>
  <si>
    <t>Same with the wrong token / no hub.mode</t>
  </si>
  <si>
    <t>403 / the SPA HTML (staff page)</t>
  </si>
  <si>
    <t>Wrong token → 403. No hub.mode → 200 with the SPA HTML (&lt;title&gt;Capitol Restaurant&lt;/title&gt;)</t>
  </si>
  <si>
    <t>MA-03</t>
  </si>
  <si>
    <t>Test FB user</t>
  </si>
  <si>
    <t>Send hi to the Page</t>
  </si>
  <si>
    <t>Greeting plus quick replies: Function Room, Catering, Delivery</t>
  </si>
  <si>
    <t>§4.1.2-3 (ack ≤ 30 s)</t>
  </si>
  <si>
    <t>MA-04</t>
  </si>
  <si>
    <t>Tap Catering → reply with the requested details (name, 09171234567, event, date, guests, package)</t>
  </si>
  <si>
    <t>The bot confirms the request. A row appears on /inquiry-bot under Requests with type Catering. messenger_sessions holds the PSID with a state/draft while the form is in progress</t>
  </si>
  <si>
    <t>MA-05</t>
  </si>
  <si>
    <t>Send What is the capital of France?</t>
  </si>
  <si>
    <t>Off-topic message. No inquiry row is created</t>
  </si>
  <si>
    <t>MA-06</t>
  </si>
  <si>
    <t>Ask something not in the known facts (Do you accept pets?)</t>
  </si>
  <si>
    <t>Handover message ("Our staff will review…"). The row type is Unanswered Question, status New</t>
  </si>
  <si>
    <t>REQ-INQ-002, §4.1.2-4</t>
  </si>
  <si>
    <t>REQ-INQ-002, SEQ-INQ</t>
  </si>
  <si>
    <t>MA-07</t>
  </si>
  <si>
    <t>Send I want to order 2 Buttered Chicken</t>
  </si>
  <si>
    <t>The bot says it cannot take orders in chat and links the website. No delivery_orders row (source = messenger) is created. This differs from the brief, which expects Messenger orders → F-11</t>
  </si>
  <si>
    <t>— (brief vs app)</t>
  </si>
  <si>
    <t>F-11</t>
  </si>
  <si>
    <t>MA-08</t>
  </si>
  <si>
    <t>Send a sticker/photo</t>
  </si>
  <si>
    <t>"I can only read text…"</t>
  </si>
  <si>
    <t>MA-09</t>
  </si>
  <si>
    <t>Send 3 messages within 2 s</t>
  </si>
  <si>
    <t>Replies come in order, and no draft is lost (per-sender queue)</t>
  </si>
  <si>
    <t>PR-01</t>
  </si>
  <si>
    <t>Profile</t>
  </si>
  <si>
    <t>"Sign in to view and manage your profile details." plus a sign-in button. No data</t>
  </si>
  <si>
    <t>PR-02</t>
  </si>
  <si>
    <t>Contact details → phone 0917 → Save</t>
  </si>
  <si>
    <t>Phone validation error. Not saved</t>
  </si>
  <si>
    <t>PR-03</t>
  </si>
  <si>
    <t>Save phone 09171234567 and a Home address. Then open the function room form</t>
  </si>
  <si>
    <t>Contact prefilled with 09171234567</t>
  </si>
  <si>
    <t>PR-04</t>
  </si>
  <si>
    <t>CUST-B has bookings</t>
  </si>
  <si>
    <t>Log in as CUST → My bookings</t>
  </si>
  <si>
    <t>Only CUST's own bookings are listed</t>
  </si>
  <si>
    <t>§5.3, REQ-ADM-001</t>
  </si>
  <si>
    <t>PR-05</t>
  </si>
  <si>
    <t>New account</t>
  </si>
  <si>
    <t>My bookings</t>
  </si>
  <si>
    <t>Empty state message, no error</t>
  </si>
  <si>
    <t>PR-06</t>
  </si>
  <si>
    <t>Order Out for delivery</t>
  </si>
  <si>
    <t>Tracker → enter the reference → view the map</t>
  </si>
  <si>
    <t>The map renders the restaurant and the address pin, with a ≈ N min drive estimate (or a graceful fallback if geocoding fails)</t>
  </si>
  <si>
    <t>PR-07</t>
  </si>
  <si>
    <t>Tracker → reference CAP-9999</t>
  </si>
  <si>
    <t>"We could not find that reference."</t>
  </si>
  <si>
    <t>OP-01</t>
  </si>
  <si>
    <t>Operations dashboard</t>
  </si>
  <si>
    <t>/operations open in BrA</t>
  </si>
  <si>
    <t>In BrB, CUST books a buffet slot</t>
  </si>
  <si>
    <t>A new row appears in Catering bookings in BrA without a refresh. Catering pending +1</t>
  </si>
  <si>
    <t>REQ-ADM-002, §3.4</t>
  </si>
  <si>
    <t>REQ-ADM-002, IF-COM-01</t>
  </si>
  <si>
    <t>OP-02</t>
  </si>
  <si>
    <t>Open a function booking → Status Pending → Confirmed → Save → Timeline tab</t>
  </si>
  <si>
    <t>The timeline appends Confirmed with a timestamp. The customer's profile shows it after a refresh</t>
  </si>
  <si>
    <t>§4.2.2-4, REQ-ADM-002</t>
  </si>
  <si>
    <t>OP-03</t>
  </si>
  <si>
    <t>FOH ×2</t>
  </si>
  <si>
    <t>Same booking open in BrA and BrB (both FOH)</t>
  </si>
  <si>
    <t>Save a change in A, then try to save in B</t>
  </si>
  <si>
    <t>B shows the "booking changed in another session" error. Save changes is disabled until reload</t>
  </si>
  <si>
    <t>REQ-RES-002</t>
  </si>
  <si>
    <t>OP-04</t>
  </si>
  <si>
    <t>Two bookings: X at COL 3:00 PM, Y at COL 3:30 PM</t>
  </si>
  <si>
    <t>Edit Y → time 3:00 PM → Save</t>
  </si>
  <si>
    <t>Rejected with the slot-taken error. Y is unchanged</t>
  </si>
  <si>
    <t>OP-05</t>
  </si>
  <si>
    <t>Open a booking → no changes</t>
  </si>
  <si>
    <t>Save changes disabled</t>
  </si>
  <si>
    <t>OP-06</t>
  </si>
  <si>
    <t>Search function bookings by reference / name</t>
  </si>
  <si>
    <t>Filtering works. Empty state when there are no matches</t>
  </si>
  <si>
    <t>OP-07</t>
  </si>
  <si>
    <t>Booking Cancelled</t>
  </si>
  <si>
    <t>Set it back to Pending while its slot is free</t>
  </si>
  <si>
    <t>Allowed. The slot is re-occupied (the calendar shows it as taken)</t>
  </si>
  <si>
    <t>OP-08</t>
  </si>
  <si>
    <t>Stat cards: Active deliveries, Function pending, Catering pending, New inquiries, Total orders</t>
  </si>
  <si>
    <t>Counts match the tables below them. SRS widgets are Today's Deliveries, Room Occupancy, Pending Inquiries, Revenue Summary. The app has no room occupancy, and revenue appears only as a hint under Total orders → F-30</t>
  </si>
  <si>
    <t>REQ-ADM-002, §4.4.2-3</t>
  </si>
  <si>
    <t>REQ-ADM-002, SEQ-ADM</t>
  </si>
  <si>
    <t>F-30</t>
  </si>
  <si>
    <t>OP-09</t>
  </si>
  <si>
    <t>Manager (optional account) or Admin</t>
  </si>
  <si>
    <t>Some bookings and orders exist</t>
  </si>
  <si>
    <t>/dashboard → look for daily/monthly summaries of sales volume, direct vs. third-party breakdown and room utilisation, and an Export (CSV/PDF) action</t>
  </si>
  <si>
    <t>SRS: exportable daily/monthly reports. App: charts only (Orders by Source, Service Breakdown by Source, Order Volume Over Time, Inquiry Tracking). The source split partly covers direct vs. third-party, but there is no sales-value report, no room utilisation and no export → F-22</t>
  </si>
  <si>
    <t>REQ-ADM-004</t>
  </si>
  <si>
    <t>F-22</t>
  </si>
  <si>
    <t>NF-01</t>
  </si>
  <si>
    <t>Chrome DevTools → Network → throttling Fast 4G, cache disabled</t>
  </si>
  <si>
    <t>Load /, /delivery/order and /function-rooms/reserve. Read Load at the bottom of the Network panel</t>
  </si>
  <si>
    <t>Each loads in ≤ 5 s</t>
  </si>
  <si>
    <t>§5.1 Response Time</t>
  </si>
  <si>
    <t>NFR-PERF-01</t>
  </si>
  <si>
    <t>Partial evidence (curl, broadband): HTML 0.48–0.55 s; JS bundle 1.04 MB in 0.93 s. Still needs the Chrome DevTools Fast 4G measurement</t>
  </si>
  <si>
    <t>NF-02</t>
  </si>
  <si>
    <t>Same throttling</t>
  </si>
  <si>
    <t>Function room form → Check Availability →, time until the calendar shows slot states. Then Confirm, time until the success panel</t>
  </si>
  <si>
    <t>Each &lt; 5 s</t>
  </si>
  <si>
    <t>§5.1 Transaction Speed</t>
  </si>
  <si>
    <t>NFR-PERF-02</t>
  </si>
  <si>
    <t>NF-03</t>
  </si>
  <si>
    <t>DevTools device toolbar, width 375 px</t>
  </si>
  <si>
    <t>Walk through S-07 and S-09 on the 375 px viewport</t>
  </si>
  <si>
    <t>No horizontal scroll, every control is reachable, and the function room booking takes no more than the 8 steps listed in §5.4</t>
  </si>
  <si>
    <t>§3.1 Responsive Layout, §5.4 Usability</t>
  </si>
  <si>
    <t>NFR-USE-01, IF-UI-01</t>
  </si>
  <si>
    <t>RM-01</t>
  </si>
  <si>
    <t>Role-based access</t>
  </si>
  <si>
    <t>Signed in as the role</t>
  </si>
  <si>
    <t>Type /delivery/staff, /inquiry-bot and /dashboard in the address bar</t>
  </si>
  <si>
    <t>Each redirects to /</t>
  </si>
  <si>
    <t>RM-02</t>
  </si>
  <si>
    <t>Type /dashboard, /delivery/rider, / and /profile</t>
  </si>
  <si>
    <t>All redirect to /operations</t>
  </si>
  <si>
    <t>RM-03</t>
  </si>
  <si>
    <t>Type /operations, /delivery/items and /catering</t>
  </si>
  <si>
    <t>All redirect to /delivery/rider</t>
  </si>
  <si>
    <t>RM-04</t>
  </si>
  <si>
    <t>Type /OPERATIONS/ (case and trailing slash)</t>
  </si>
  <si>
    <t>Renders Operations (paths are normalised)</t>
  </si>
  <si>
    <t>RM-05</t>
  </si>
  <si>
    <t>Manager (optional account)</t>
  </si>
  <si>
    <t>Open /dashboard</t>
  </si>
  <si>
    <t>Renders. /delivery/rider redirects to /operations</t>
  </si>
  <si>
    <t>RM-06</t>
  </si>
  <si>
    <t>Admin (optional account)</t>
  </si>
  <si>
    <t>Renders. / redirects to /dashboard</t>
  </si>
  <si>
    <t>DB-01</t>
  </si>
  <si>
    <t>DB / Security: Anon cannot read bookings</t>
  </si>
  <si>
    <t>See command</t>
  </si>
  <si>
    <t>SB, ANON, JWT variables (§0.5)</t>
  </si>
  <si>
    <t>curl "$SB/rest/v1/function_bookings?select=id" -H "apikey: $ANON" -H "Authorization: Bearer $ANON"</t>
  </si>
  <si>
    <t>401/403 permission denied (or []). Never rows</t>
  </si>
  <si>
    <t>anon GET function_bookings, catering_bookings, delivery_orders, inquiries → 42501 permission denied (no rows)</t>
  </si>
  <si>
    <t>DB-02</t>
  </si>
  <si>
    <t>DB / Security: Anon cannot write business tables</t>
  </si>
  <si>
    <t>curl -X POST "$SB/rest/v1/inquiries" -H "apikey: $ANON" -H "Authorization: Bearer $ANON" -H 'Content-Type: application/json' -d '{"name":"x","type":"x","message":"x","status":"New"}' (repeat for catering_bookings and delivery_orders)</t>
  </si>
  <si>
    <t>401 / 42501 permission denied</t>
  </si>
  <si>
    <t>anon POST inquiries, catering_bookings, delivery_orders → 42501 permission denied</t>
  </si>
  <si>
    <t>Payloads used an invalid status so no row could be created even if access were open</t>
  </si>
  <si>
    <t>DB-03</t>
  </si>
  <si>
    <t>DB / Security: Anon can read slot inventory but not write it</t>
  </si>
  <si>
    <t>GET booking_availability?select=*&amp;limit=1 → then POST a row</t>
  </si>
  <si>
    <t>GET 200. POST denied</t>
  </si>
  <si>
    <t>NFR-SEC-02, REQ-RES-001</t>
  </si>
  <si>
    <t>anon GET booking_availability → 200 []. anon POST → 42501</t>
  </si>
  <si>
    <t>Also: anon GET profiles / messenger_sessions → 42501; anon GET catering_packages → 200 (catalog is public by design)</t>
  </si>
  <si>
    <t>DB-04</t>
  </si>
  <si>
    <t>DB / Security: Customer sees only own rows</t>
  </si>
  <si>
    <t>With CUST JWT: GET function_bookings?select=id,user_id</t>
  </si>
  <si>
    <t>Every row has user_id = CUST's id. CUST-B's bookings are absent</t>
  </si>
  <si>
    <t>NFR-SEC-02, REQ-ADM-001</t>
  </si>
  <si>
    <t>DB-05</t>
  </si>
  <si>
    <t>DB / Security: Customer cannot write another user's row</t>
  </si>
  <si>
    <t>CUST JWT: PATCH function_bookings?id=eq.&lt;CUST-B booking id&gt; body {"status":"Cancelled"} with Prefer: return=representation</t>
  </si>
  <si>
    <t>[] (0 rows affected)</t>
  </si>
  <si>
    <t>DB-06</t>
  </si>
  <si>
    <t>DB / Security: Customer self-confirm</t>
  </si>
  <si>
    <t>CUST JWT: PATCH function_bookings?id=eq.&lt;own Pending id&gt; body {"status":"Confirmed"}</t>
  </si>
  <si>
    <t>Expected (business): denied. Current policy allows it (update-own has no column/status restriction) → F-12</t>
  </si>
  <si>
    <t>REQ-RES-003, NFR-SEC-02</t>
  </si>
  <si>
    <t>F-12</t>
  </si>
  <si>
    <t>DB-07</t>
  </si>
  <si>
    <t>DB / Security: Customer cannot escalate role</t>
  </si>
  <si>
    <t>CUST JWT: PATCH profiles?id=eq.&lt;own id&gt; body {"role":"system_admin"}</t>
  </si>
  <si>
    <t>403 / permission denied (no UPDATE grant on profiles)</t>
  </si>
  <si>
    <t>DB-08</t>
  </si>
  <si>
    <t>DB / Security: Atomic slot reservation</t>
  </si>
  <si>
    <t>Fire two POSTs for the same room_id=private_dining, date=COL, time=16:00, status=Pending concurrently (two shells, CUST and CUST-B JWTs, &amp; and then wait)</t>
  </si>
  <si>
    <t>Exactly one 201. The other returns 409 / 23505 function_bookings_active_slot_unique. booking_availability has exactly one row for that slot. (The outcome meets REQ-RES-002, but the mechanism is a unique index, not SELECT FOR UPDATE → F-31)</t>
  </si>
  <si>
    <t>REQ-RES-002, ARCH-01</t>
  </si>
  <si>
    <t>F-31</t>
  </si>
  <si>
    <t>DB-09</t>
  </si>
  <si>
    <t>DB / Security: Off-grid / out-of-hours times rejected by the DB</t>
  </si>
  <si>
    <t>POST a function booking with time = 20:00, then 12:15</t>
  </si>
  <si>
    <t>23514 check violation (function_bookings_time_grid_check)</t>
  </si>
  <si>
    <t>REQ-RES-002, BRIEF</t>
  </si>
  <si>
    <t>DB-10</t>
  </si>
  <si>
    <t>DB / Security: Lead time enforced server-side</t>
  </si>
  <si>
    <t>CUST JWT: POST a function booking for today at 10:00</t>
  </si>
  <si>
    <t>Expected: rejected (BR Lead Time). Current: the DB accepts it (the 2-day rule is client-only) → F-16</t>
  </si>
  <si>
    <t>F-16</t>
  </si>
  <si>
    <t>DB-11</t>
  </si>
  <si>
    <t>DB / Security: Cancel releases the slot</t>
  </si>
  <si>
    <t>FOH: set the DB-08 booking to Cancelled → query booking_availability for that slot</t>
  </si>
  <si>
    <t>Row gone. A new booking for the slot succeeds</t>
  </si>
  <si>
    <t>DB-12</t>
  </si>
  <si>
    <t>DB / Security: Staff read all inquiries</t>
  </si>
  <si>
    <t>FOH JWT: GET inquiries?select=id,user_id&amp;limit=50</t>
  </si>
  <si>
    <t>Includes rows with user_id = null and rows from other users</t>
  </si>
  <si>
    <t>DB-13</t>
  </si>
  <si>
    <t>DB / Security: Rider has no business-table access</t>
  </si>
  <si>
    <t>RIDER JWT: GET delivery_orders?select=reference</t>
  </si>
  <si>
    <t>[] (no read policy for the rider role)</t>
  </si>
  <si>
    <t>DB-14</t>
  </si>
  <si>
    <t>DB / Security: system_admin write path</t>
  </si>
  <si>
    <t>Admin JWT: PATCH inquiries?id=eq.&lt;id&gt; body {"status":"Resolved"}</t>
  </si>
  <si>
    <t>Current: 0 rows, so the Operations UI change silently reverts on refresh. SRS expects full admin access → F-17</t>
  </si>
  <si>
    <t>UR-ADMIN, REQ-ADM-001</t>
  </si>
  <si>
    <t>F-17</t>
  </si>
  <si>
    <t>DB-15</t>
  </si>
  <si>
    <t>DB / Security: Webhook POST not authenticated</t>
  </si>
  <si>
    <t>curl -X POST $SITE/inquiry-bot -H 'Content-Type: application/json' -d '{"object":"page","entry":[]}'</t>
  </si>
  <si>
    <t>Expected: reject requests without X-Hub-Signature-256. Current: 200 EVENT_RECEIVED → F-18</t>
  </si>
  <si>
    <t>NFR-SEC-02, CON-01</t>
  </si>
  <si>
    <t>HTTP 200 EVENT_RECEIVED for an unsigned POST (no X-Hub-Signature-256)</t>
  </si>
  <si>
    <t>DB-16</t>
  </si>
  <si>
    <t>DB / Security: Host / origin guard</t>
  </si>
  <si>
    <t>curl -H 'Origin: https://evil.example' -X POST $SITE/inquiries ...</t>
  </si>
  <si>
    <t>403 This website origin is not allowed.</t>
  </si>
  <si>
    <t>HTTP 403 'This website origin is not allowed.'</t>
  </si>
  <si>
    <t>Req ID</t>
  </si>
  <si>
    <t>Module</t>
  </si>
  <si>
    <t>SRS Section</t>
  </si>
  <si>
    <t>Requirement (summary)</t>
  </si>
  <si>
    <t>Type</t>
  </si>
  <si>
    <t>Linked Test Cases</t>
  </si>
  <si>
    <t>Linked Findings</t>
  </si>
  <si>
    <t># Test Cases</t>
  </si>
  <si>
    <t>Verdict</t>
  </si>
  <si>
    <t>Inquiry Management</t>
  </si>
  <si>
    <t>§4.1.3</t>
  </si>
  <si>
    <t>Signed-in customers submit catering/event inquiries via web form; record created with status New</t>
  </si>
  <si>
    <t>MUST</t>
  </si>
  <si>
    <t>S-11, IQ-01, IQ-02, IQ-04</t>
  </si>
  <si>
    <t>Capture Facebook Messenger inquiries via Meta Graph API webhook; record within 30 s</t>
  </si>
  <si>
    <t>S-16, S-20, IB-01, MA-01, MA-02, MA-04, MA-06</t>
  </si>
  <si>
    <t>Show the AI Agent's drafted reply to staff before any reply is sent</t>
  </si>
  <si>
    <t>Staff edit and send the AI draft from the dashboard; set status In progress / Resolved</t>
  </si>
  <si>
    <t>IQ-06, IB-04, IB-05, IB-06</t>
  </si>
  <si>
    <t>§4.1.2</t>
  </si>
  <si>
    <t>Inquiry flow: received → created as New → acknowledgement ≤ 30 s → staff reply → status update</t>
  </si>
  <si>
    <t>Flow</t>
  </si>
  <si>
    <t>S-11, IQ-04, IQ-06, IQ-07, MA-03, MA-06</t>
  </si>
  <si>
    <t>Reservation</t>
  </si>
  <si>
    <t>§4.2.3</t>
  </si>
  <si>
    <t>Real-time calendar showing availability, blocked dates and open slots</t>
  </si>
  <si>
    <t>S-09, FR-08, FR-09, FR-11, OP-07, DB-03, DB-11</t>
  </si>
  <si>
    <t>Database-level locking prevents simultaneous double-booking</t>
  </si>
  <si>
    <t>CT-09, FR-08, OP-03, OP-04, DB-08, DB-09</t>
  </si>
  <si>
    <t>REQ-RES-003</t>
  </si>
  <si>
    <t>Minimum deposit via payment gateway before a reservation is locked</t>
  </si>
  <si>
    <t>FR-10, DB-06</t>
  </si>
  <si>
    <t>F-04, F-12</t>
  </si>
  <si>
    <t>Managers can block out dates/times (maintenance, private events)</t>
  </si>
  <si>
    <t>REQ-RES-005</t>
  </si>
  <si>
    <t>Release a locked slot if the deposit is not paid within 10 minutes</t>
  </si>
  <si>
    <t>F-05</t>
  </si>
  <si>
    <t>§4.2.2</t>
  </si>
  <si>
    <t>Booking flow: select room/date/time/duration → atomic check → 10-min lock → Pending Deposit → Confirmed; 'Already Reserved' on conflict</t>
  </si>
  <si>
    <t>S-13, CT-09, FR-08, FR-11, FR-15, OP-02</t>
  </si>
  <si>
    <t>Food Delivery</t>
  </si>
  <si>
    <t>§4.3.3</t>
  </si>
  <si>
    <t>Categorised menu with photos, descriptions, pricing and allergen/dietary tags</t>
  </si>
  <si>
    <t>DO-01, DO-03, DO-13</t>
  </si>
  <si>
    <t>Dynamic cart, item customisation notes, subtotal and delivery fee</t>
  </si>
  <si>
    <t>DO-02, DO-04, DO-14</t>
  </si>
  <si>
    <t>Card and e-wallet (GCash/PayMaya) payment via PCI-DSS checkout</t>
  </si>
  <si>
    <t>Live order tracking for customers and real-time status toggle for staff</t>
  </si>
  <si>
    <t>S-06, S-10, S-15, S-19, DO-08, DO-09, DO-11, DS-01, DS-02, PR-06, PR-07</t>
  </si>
  <si>
    <t>F-01, F-02</t>
  </si>
  <si>
    <t>§4.3.2</t>
  </si>
  <si>
    <t>Order flow: select → address/contact/payment → payment → staff chime + docket → Received → Preparing → Out for Delivery → Delivered</t>
  </si>
  <si>
    <t>S-06, DO-06, DO-14, DS-14</t>
  </si>
  <si>
    <t>F-20, F-26</t>
  </si>
  <si>
    <t>Website &amp; Admin</t>
  </si>
  <si>
    <t>§4.4.3</t>
  </si>
  <si>
    <t>JWT role-based access control for Staff, Manager, Administrator and Delivery Rider</t>
  </si>
  <si>
    <t>S-01, S-03, S-12, S-18, AU-01, AU-05, AU-09, AU-10, IB-09, PR-04, RM-01, RM-02, RM-03, RM-04, RM-05, RM-06, DB-04, DB-07, DB-14</t>
  </si>
  <si>
    <t>Unified operations dashboard with real-time manifests of orders, bookings and inquiries</t>
  </si>
  <si>
    <t>S-13, S-14, DS-01, IQ-05, OP-01, OP-02, OP-08, DB-12</t>
  </si>
  <si>
    <t>Authorised managers edit item availability, prices and dish photos</t>
  </si>
  <si>
    <t>DS-05, DS-06, DS-07</t>
  </si>
  <si>
    <t>F-09, F-32</t>
  </si>
  <si>
    <t>Exportable daily/monthly sales, direct vs. third-party and room-utilisation reports</t>
  </si>
  <si>
    <t>SEQ-ADM</t>
  </si>
  <si>
    <t>§4.4.2</t>
  </si>
  <si>
    <t>Dashboard flow: staff login → role check → widgets (deliveries, occupancy, inquiries, revenue) → edits persist to storefront</t>
  </si>
  <si>
    <t>DS-06, OP-08</t>
  </si>
  <si>
    <t>F-09, F-30, F-32</t>
  </si>
  <si>
    <t>User classes</t>
  </si>
  <si>
    <t>§2.3</t>
  </si>
  <si>
    <t>Customers: browse without sign-in; sign-in required for booking, ordering and inquiries</t>
  </si>
  <si>
    <t>Access</t>
  </si>
  <si>
    <t>S-02, S-04, S-05, S-07, CT-01, IQ-01</t>
  </si>
  <si>
    <t>Delivery Rider: sees assigned orders only; may set status to Delivered</t>
  </si>
  <si>
    <t>S-17, S-18, AU-06, DS-09, DS-13, DB-13</t>
  </si>
  <si>
    <t>F-13, F-25</t>
  </si>
  <si>
    <t>UR-ADMIN</t>
  </si>
  <si>
    <t>System Administrator: full administrative and system access</t>
  </si>
  <si>
    <t>Business rules</t>
  </si>
  <si>
    <t>§5.5</t>
  </si>
  <si>
    <t>Reservation Lead Time: book at least 2 days before the date</t>
  </si>
  <si>
    <t>Rule</t>
  </si>
  <si>
    <t>S-01, S-07, S-09, CT-03, FR-07, DB-10</t>
  </si>
  <si>
    <t>Party Size Limits: accept parties of 10 to 50 guests only</t>
  </si>
  <si>
    <t>S-09, FR-02, FR-03, FR-04</t>
  </si>
  <si>
    <t>Menu and Pricing Authority: only Restaurant Manager and Administrator change menu/prices</t>
  </si>
  <si>
    <t>Cancellation Policy: self-cancel by email link up to 2 days before; staff flag late cancels/no-shows</t>
  </si>
  <si>
    <t>FR-12, FR-16</t>
  </si>
  <si>
    <t>F-06, F-29</t>
  </si>
  <si>
    <t>§5.1</t>
  </si>
  <si>
    <t>Website loads within 5 s on 4G and broadband</t>
  </si>
  <si>
    <t>Availability searches and reservation confirmations respond in under 5 s</t>
  </si>
  <si>
    <t>§5.2</t>
  </si>
  <si>
    <t>All text inputs sanitised against injection</t>
  </si>
  <si>
    <t>RA 10173 compliance; explicit consent checkbox on the booking form</t>
  </si>
  <si>
    <t>RBAC; customers and riders verify by email; staff need specific accounts</t>
  </si>
  <si>
    <t>AU-01, AU-02, AU-03, AU-11, PR-01, PR-04, DB-01, DB-02, DB-03, DB-04, DB-05, DB-06, DB-07, DB-15, DB-16</t>
  </si>
  <si>
    <t>F-12, F-18</t>
  </si>
  <si>
    <t>Mobile-first; reservation completable in ≤ 8 steps</t>
  </si>
  <si>
    <t>FR-01, FR-05, PR-03, NF-03</t>
  </si>
  <si>
    <t>IF-UI-01</t>
  </si>
  <si>
    <t>Interfaces</t>
  </si>
  <si>
    <t>§3.1</t>
  </si>
  <si>
    <t>Responsive UI (375 px to 4K) and real-time alert badges on the dashboard</t>
  </si>
  <si>
    <t>Interface</t>
  </si>
  <si>
    <t>DS-14, IQ-05, NF-03</t>
  </si>
  <si>
    <t>F-26, F-27</t>
  </si>
  <si>
    <t>IF-SW-01</t>
  </si>
  <si>
    <t>§3.3</t>
  </si>
  <si>
    <t>Transactional email (e.g. Resend) for booking confirmations and receipts</t>
  </si>
  <si>
    <t>F-06, F-21</t>
  </si>
  <si>
    <t>IF-COM-01</t>
  </si>
  <si>
    <t>§3.4</t>
  </si>
  <si>
    <t>WebSockets/SSE push for real-time dashboard notifications</t>
  </si>
  <si>
    <t>IQ-05, OP-01</t>
  </si>
  <si>
    <t>CON-01</t>
  </si>
  <si>
    <t>Constraints</t>
  </si>
  <si>
    <t>§2.5</t>
  </si>
  <si>
    <t>Vendor credentials kept in Railway encrypted variables; Meta API dependency</t>
  </si>
  <si>
    <t>Constraint</t>
  </si>
  <si>
    <t>S-20, DB-15</t>
  </si>
  <si>
    <t>ARCH-01</t>
  </si>
  <si>
    <t>Architecture</t>
  </si>
  <si>
    <t>§2.1, §2.4</t>
  </si>
  <si>
    <t>Three-tier architecture: React + TypeScript, Python FastAPI backend, PostgreSQL (Supabase)</t>
  </si>
  <si>
    <t>Design</t>
  </si>
  <si>
    <t>Not in SRS</t>
  </si>
  <si>
    <t>Behaviour from the test brief or the app itself (no SRS requirement); traced for completeness</t>
  </si>
  <si>
    <t>S-07, S-08, AU-04, AU-07, AU-08, CT-02, CT-04, CT-05, CT-06, CT-07, CT-08, CT-10, CT-12, FR-06, DO-05, DO-07, DO-12, DS-03, DS-04, DS-10, DS-11, DS-12, IQ-03, IQ-08, IB-02, IB-03, IB-07, MA-05, MA-07, MA-08, MA-09, PR-02, PR-05, OP-05, OP-06, DB-09</t>
  </si>
  <si>
    <t>F-11, F-19</t>
  </si>
  <si>
    <t>Counts and verdicts are formulas over Test Cases → Requirement IDs (col J) and Status (col N). IDs other than REQ-* are assigned by this RTM because the SRS does not number those items; see Cover.</t>
  </si>
  <si>
    <t>Finding ID</t>
  </si>
  <si>
    <t>Severity</t>
  </si>
  <si>
    <t>Finding</t>
  </si>
  <si>
    <t>Evidence (code @ 010694c)</t>
  </si>
  <si>
    <t>Failed Cases</t>
  </si>
  <si>
    <t>Owner</t>
  </si>
  <si>
    <t>Target Date</t>
  </si>
  <si>
    <t>Resolution Notes</t>
  </si>
  <si>
    <t>Web delivery orders are stored only in the browser's localStorage, not in Supabase delivery_orders. Staff, riders and customers on other devices never see them</t>
  </si>
  <si>
    <t>src/data/delivery.ts:200-216, DeliveryOrder.tsx:252-280; no delivery_orders query anywhere in src/</t>
  </si>
  <si>
    <t>DO-08, DS-14</t>
  </si>
  <si>
    <t>The order reference is CAP-${1050 + local order count}, generated client-side, so duplicates across devices are possible. The DB function next_delivery_reference() is unused</t>
  </si>
  <si>
    <t>DeliveryOrder.tsx:253</t>
  </si>
  <si>
    <t>Function room accepts 1–30 guests. The SRS says 10–50</t>
  </si>
  <si>
    <t>FunctionRoomReservation.tsx:76-80, maxPax={30}</t>
  </si>
  <si>
    <t>FR-02, FR-03</t>
  </si>
  <si>
    <t>No payment gateway or deposit: bookings are created as Pending with no payment, and the GCash/Card options are labels only. PayMaya (REQ-DEL-003) is not offered</t>
  </si>
  <si>
    <t>reservations.ts:155, DeliveryOrder.tsx:893</t>
  </si>
  <si>
    <t>REQ-RES-003, REQ-DEL-003</t>
  </si>
  <si>
    <t>FR-10, DO-10</t>
  </si>
  <si>
    <t>No 10-minute slot hold or expiry. The slot is occupied as soon as the booking is Pending and stays occupied until staff cancel it</t>
  </si>
  <si>
    <t>No hold logic in the migrations or src/</t>
  </si>
  <si>
    <t>No confirmation email or self-cancel link</t>
  </si>
  <si>
    <t>No SMTP/Resend code</t>
  </si>
  <si>
    <t>BR Cancellation, §3.3</t>
  </si>
  <si>
    <t>The web inquiry form does not require sign-in, the server always saves user_id = null (even for a signed-in customer, so the inquiry is never linked to the account), and non-order inquiries are saved as Resolved instead of New</t>
  </si>
  <si>
    <t>Inquiries.tsx, webhook.js:820-828</t>
  </si>
  <si>
    <t>IQ-01, IQ-07, S-14</t>
  </si>
  <si>
    <t>Front-of-house can edit the menu (/delivery/items), and catalog RLS gives FOH write access to packages, items, rooms and blackout dates</t>
  </si>
  <si>
    <t>roles.ts OPERATIONS_PATHS; migration 20260917082142 operational_predicate</t>
  </si>
  <si>
    <t>DS-08, S-08</t>
  </si>
  <si>
    <t>Menu manager edits (items, categories, visibility) are stored in localStorage only, so they are not persisted to the DB or shown to other customers</t>
  </si>
  <si>
    <t>src/data/deliveryMenu.ts</t>
  </si>
  <si>
    <t>DS-06, S-06</t>
  </si>
  <si>
    <t>The Inquiry Bot page shows no AI-drafted reply for staff to edit</t>
  </si>
  <si>
    <t>InquiryBot.tsx (no draft field)</t>
  </si>
  <si>
    <t>P1 (brief)</t>
  </si>
  <si>
    <t>The Messenger agent never creates orders (place_order → "we can't take orders here"), so no source = messenger rows are written, although the schema supports them</t>
  </si>
  <si>
    <t>webhook.js:525, :950-953</t>
  </si>
  <si>
    <t>— (the test brief expects it; the SRS does not require it)</t>
  </si>
  <si>
    <t>Customer RLS allows updating any column of their own booking or order, including status (e.g., self-Confirmed)</t>
  </si>
  <si>
    <t>Migration 20260917082142 update policy</t>
  </si>
  <si>
    <t>REQ-RES-003, §5.3</t>
  </si>
  <si>
    <t>A rider account whose display name doesn't match a rider record sees the first rider's orders</t>
  </si>
  <si>
    <t>DeliveryRider.tsx:26-34</t>
  </si>
  <si>
    <t>§2.3 Rider ("assigned orders")</t>
  </si>
  <si>
    <t>DS-11, S-11</t>
  </si>
  <si>
    <t>There is no UI for managers to block out dates; reserved_dates can only be edited in the DB</t>
  </si>
  <si>
    <t>No write to reserved_dates in src/</t>
  </si>
  <si>
    <t>The booking form has no data-privacy consent checkbox</t>
  </si>
  <si>
    <t>No "consent" in src/</t>
  </si>
  <si>
    <t>The 2-day lead time is enforced only in the client. The DB accepts same-day bookings</t>
  </si>
  <si>
    <t>CalendarModal.tsx:201-209; no DB check</t>
  </si>
  <si>
    <t>system_admin can open Operations but RLS denies writes, so status changes fail or silently revert</t>
  </si>
  <si>
    <t>Migration 20260917082142 (operational_predicate excludes system_admin)</t>
  </si>
  <si>
    <t>§2.3 (Administrator: full access), REQ-ADM-001</t>
  </si>
  <si>
    <t>REQ-ADM-001, UR-ADMIN</t>
  </si>
  <si>
    <t>POST /inquiry-bot has no Meta signature check, and VERIFY_TOKEN falls back to test-agent when the env var is unset</t>
  </si>
  <si>
    <t>webhook.js:75, :975. Confirmed live 2026-10-07: unsigned POST returns 200, and the verify token test-agent is accepted, so VERIFY_TOKEN is not set on Railway</t>
  </si>
  <si>
    <t>§5.3, §2.5 Vendor</t>
  </si>
  <si>
    <t>DB-15, MA-01</t>
  </si>
  <si>
    <t>Confirmed on the live site 2026-10-07 (DB-15 fail; MA-01 accepted the fallback token). Fix: set VERIFY_TOKEN and APP_SECRET on Railway and verify X-Hub-Signature-256</t>
  </si>
  <si>
    <t>Phone rules differ between forms: function room and catering accept +639…, delivery and profile accept only 09…</t>
  </si>
  <si>
    <t>FunctionRoomReservation.tsx:16 vs DeliveryOrder.tsx:46</t>
  </si>
  <si>
    <t>— (internal consistency)</t>
  </si>
  <si>
    <t>FR-06, DO-05</t>
  </si>
  <si>
    <t>F-20</t>
  </si>
  <si>
    <t>The delivery status flow differs: the SRS has Received → Preparing → Out for Delivery → Delivered; the app has Preparing → Ready for pickup → Out for delivery → Delivered</t>
  </si>
  <si>
    <t>delivery.ts:49</t>
  </si>
  <si>
    <t>§4.3.2-5</t>
  </si>
  <si>
    <t>DS-02, S-02</t>
  </si>
  <si>
    <t>F-21</t>
  </si>
  <si>
    <t>Packed-meal bookings are saved with email = "", so staff cannot email the customer</t>
  </si>
  <si>
    <t>CateringPacked.tsx:292</t>
  </si>
  <si>
    <t>§3.3 SMTP</t>
  </si>
  <si>
    <t>No reporting module: /dashboard shows charts but has no sales-value or room-utilisation summary and no export</t>
  </si>
  <si>
    <t>Dashboard.tsx (no CSV/PDF/download code)</t>
  </si>
  <si>
    <t>Menu items have no allergen or dietary tags</t>
  </si>
  <si>
    <t>No "allergen" anywhere in src/</t>
  </si>
  <si>
    <t>Customisation notes are per order, not per item</t>
  </si>
  <si>
    <t>DeliveryOrder.tsx:900 (single Notes field)</t>
  </si>
  <si>
    <t>Riders can set Out for delivery as well as Delivered</t>
  </si>
  <si>
    <t>DeliveryRider.tsx:36-44 (NEXT_STATUS)</t>
  </si>
  <si>
    <t>DS-13, S-13, S-18</t>
  </si>
  <si>
    <t>F-26</t>
  </si>
  <si>
    <t>No audible chime and no live refresh for new delivery orders on the staff page</t>
  </si>
  <si>
    <t>No audio code in src/; AdminDelivery.tsx has no polling or storage listener</t>
  </si>
  <si>
    <t>§4.3.2-4, §3.1</t>
  </si>
  <si>
    <t>DS-14, S-14</t>
  </si>
  <si>
    <t>Inquiries and dashboard counts arrive by 10-second polling, not WebSocket/SSE push (bookings do use Supabase Realtime)</t>
  </si>
  <si>
    <t>setInterval in Operations.tsx, InquiryBot.tsx, Dashboard.tsx</t>
  </si>
  <si>
    <t>§3.4, §3.1</t>
  </si>
  <si>
    <t>IF-UI-01, IF-COM-01</t>
  </si>
  <si>
    <t>Booking flow differs from §4.2.2: no duration choice, status Pending instead of Pending Deposit, collision text differs from "Already Reserved"</t>
  </si>
  <si>
    <t>reservations.ts:7; CalendarModal.tsx</t>
  </si>
  <si>
    <t>Staff cannot flag late cancellations or no-shows</t>
  </si>
  <si>
    <t>ReservationStatus has no such value (reservations.ts:7)</t>
  </si>
  <si>
    <t>Operations stat cards differ from the SRS widgets: no Room Occupancy, and revenue appears only as a hint</t>
  </si>
  <si>
    <t>Operations.tsx:277-281</t>
  </si>
  <si>
    <t>§4.4.2-3</t>
  </si>
  <si>
    <t>P2 (docs)</t>
  </si>
  <si>
    <t>The SRS architecture doesn't match the build: Python FastAPI backend vs. Express webhook.js; SELECT FOR UPDATE vs. a partial unique index for slot locking. Behaviour is equivalent; update the SRS (§2.1, §2.4, REQ-RES-002) or record a design decision</t>
  </si>
  <si>
    <t>webhook.js; migration unique index function_bookings_active_slot_unique</t>
  </si>
  <si>
    <t>§2.1, §2.4, REQ-RES-002</t>
  </si>
  <si>
    <t>F-32</t>
  </si>
  <si>
    <t>The Supabase catalog tables (catering_packages, packed_menu_items, function_rooms) are never read by the app, and their data disagrees with what customers see: the DB has Package 1–3 for 50–500 guests, the site shows Package A–C for 10–12 guests from serviceCatalog.json. Catalog edits in the DB never reach the site, so the catalog write access in F-08 has no UI effect and REQ-ADM-003 cannot be met through the DB</t>
  </si>
  <si>
    <t>No query on those tables in src/ or webhook.js; seed in migration 20260827090541:139-141; live anon GET on 2026-10-07</t>
  </si>
  <si>
    <t>Found on the live site 2026-10-07 (anon GET catering_packages returned Package 1–3, 50–500 pax)</t>
  </si>
  <si>
    <t>Failed Cases counts test cases whose Defect / Finding ID contains this finding and whose Status is Fail. Note: 'F-1' style partial matches are avoided because IDs are two digits (F-01 … F-31).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</si>
</sst>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0" x14ac:knownFonts="1">
    <font>
      <sz val="11"/>
      <color theme="1"/>
      <name val="Calibri"/>
      <family val="2"/>
      <scheme val="minor"/>
    </font>
    <font>
      <b/>
      <sz val="10"/>
      <name val="Arial"/>
    </font>
    <font>
      <sz val="10"/>
      <name val="Arial"/>
    </font>
    <font>
      <b/>
      <sz val="16"/>
      <color rgb="FF640000"/>
      <name val="Arial"/>
    </font>
    <font>
      <b/>
      <sz val="11"/>
      <color rgb="FF640000"/>
      <name val="Arial"/>
    </font>
    <font>
      <b/>
      <sz val="10"/>
      <color rgb="FFFFFFFF"/>
      <name val="Arial"/>
    </font>
    <font>
      <b/>
      <sz val="9"/>
      <name val="Arial"/>
    </font>
    <font>
      <sz val="9"/>
      <name val="Arial"/>
    </font>
    <font>
      <i/>
      <sz val="9"/>
      <name val="Arial"/>
    </font>
    <font>
      <b/>
      <sz val="14"/>
      <color rgb="FF640000"/>
      <name val="Arial"/>
    </font>
  </fonts>
  <fills count="4">
    <fill>
      <patternFill patternType="none"/>
    </fill>
    <fill>
      <patternFill patternType="gray125"/>
    </fill>
    <fill>
      <patternFill patternType="solid">
        <fgColor rgb="FFFFF2CC"/>
      </patternFill>
    </fill>
    <fill>
      <patternFill patternType="solid">
        <fgColor rgb="FF640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1">
    <xf numFmtId="0" fontId="0" fillId="0" borderId="0" xfId="0"/>
    <xf numFmtId="0" fontId="3" fillId="0" borderId="0" xfId="0" applyFont="1" applyAlignment="1">
      <alignment vertical="top"/>
    </xf>
    <xf numFmtId="0" fontId="2" fillId="0" borderId="0" xfId="0" applyFont="1" applyAlignment="1">
      <alignment vertical="top" wrapText="1"/>
    </xf>
    <xf numFmtId="0" fontId="1" fillId="0" borderId="0" xfId="0" applyFont="1" applyAlignment="1">
      <alignment vertical="top"/>
    </xf>
    <xf numFmtId="0" fontId="4" fillId="0" borderId="0" xfId="0" applyFont="1" applyAlignment="1">
      <alignment vertical="top"/>
    </xf>
    <xf numFmtId="0" fontId="2" fillId="2" borderId="0" xfId="0" applyFont="1" applyFill="1" applyAlignment="1">
      <alignment vertical="top" wrapText="1"/>
    </xf>
    <xf numFmtId="0" fontId="9" fillId="0" borderId="0" xfId="0" applyFont="1"/>
    <xf numFmtId="0" fontId="5" fillId="3" borderId="1" xfId="0" applyFont="1" applyFill="1" applyBorder="1" applyAlignment="1">
      <alignment horizontal="center"/>
    </xf>
    <xf numFmtId="0" fontId="6" fillId="0" borderId="1" xfId="0" applyFont="1" applyBorder="1" applyAlignment="1">
      <alignment vertical="top" wrapText="1"/>
    </xf>
    <xf numFmtId="0" fontId="7" fillId="0" borderId="1" xfId="0" applyFont="1" applyBorder="1" applyAlignment="1">
      <alignment horizontal="center" vertical="top" wrapText="1"/>
    </xf>
    <xf numFmtId="9" fontId="7" fillId="0" borderId="1" xfId="0" applyNumberFormat="1" applyFont="1" applyBorder="1" applyAlignment="1">
      <alignment horizontal="center" vertical="top" wrapText="1"/>
    </xf>
    <xf numFmtId="0" fontId="6" fillId="0" borderId="1" xfId="0" applyFont="1" applyBorder="1" applyAlignment="1">
      <alignment horizontal="center" vertical="top" wrapText="1"/>
    </xf>
    <xf numFmtId="9" fontId="6" fillId="0" borderId="1" xfId="0" applyNumberFormat="1" applyFont="1" applyBorder="1" applyAlignment="1">
      <alignment horizontal="center" vertical="top" wrapText="1"/>
    </xf>
    <xf numFmtId="0" fontId="4" fillId="0" borderId="0" xfId="0" applyFont="1"/>
    <xf numFmtId="0" fontId="5" fillId="3" borderId="1" xfId="0" applyFont="1" applyFill="1" applyBorder="1" applyAlignment="1">
      <alignment horizontal="center" vertical="center" wrapText="1"/>
    </xf>
    <xf numFmtId="0" fontId="7" fillId="0" borderId="1" xfId="0" applyFont="1" applyBorder="1" applyAlignment="1">
      <alignment vertical="top" wrapText="1"/>
    </xf>
    <xf numFmtId="0" fontId="7" fillId="2" borderId="1" xfId="0" applyFont="1" applyFill="1" applyBorder="1" applyAlignment="1">
      <alignment horizontal="center" vertical="top" wrapText="1"/>
    </xf>
    <xf numFmtId="0" fontId="7" fillId="2" borderId="1" xfId="0" applyFont="1" applyFill="1" applyBorder="1" applyAlignment="1">
      <alignment vertical="top" wrapText="1"/>
    </xf>
    <xf numFmtId="164" fontId="7" fillId="2" borderId="1" xfId="0" applyNumberFormat="1" applyFont="1" applyFill="1" applyBorder="1" applyAlignment="1">
      <alignment horizontal="center" vertical="top" wrapText="1"/>
    </xf>
    <xf numFmtId="0" fontId="8" fillId="0" borderId="0" xfId="0" applyFont="1"/>
    <xf numFmtId="0" fontId="0" fillId="0" borderId="0" xfId="0"/>
  </cellXfs>
  <cellStyles count="1">
    <cellStyle name="Normal" xfId="0" builtinId="0"/>
  </cellStyles>
  <dxfs count="9">
    <dxf>
      <fill>
        <patternFill patternType="solid">
          <fgColor rgb="FFF4B084"/>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ont>
        <sz val="9"/>
        <color rgb="FF9C0006"/>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3"/>
  <sheetViews>
    <sheetView showGridLines="0" tabSelected="1" workbookViewId="0"/>
  </sheetViews>
  <sheetFormatPr defaultRowHeight="14.4" x14ac:dyDescent="0.3"/>
  <cols>
    <col min="1" max="1" width="26" customWidth="1"/>
    <col min="2" max="2" width="95" customWidth="1"/>
  </cols>
  <sheetData>
    <row r="1" spans="1:2" ht="21" x14ac:dyDescent="0.3">
      <c r="A1" s="1" t="s">
        <v>0</v>
      </c>
      <c r="B1" s="2"/>
    </row>
    <row r="2" spans="1:2" x14ac:dyDescent="0.3">
      <c r="A2" s="3"/>
      <c r="B2" s="2"/>
    </row>
    <row r="3" spans="1:2" x14ac:dyDescent="0.3">
      <c r="A3" s="3" t="s">
        <v>1</v>
      </c>
      <c r="B3" s="2" t="s">
        <v>2</v>
      </c>
    </row>
    <row r="4" spans="1:2" x14ac:dyDescent="0.3">
      <c r="A4" s="3" t="s">
        <v>3</v>
      </c>
      <c r="B4" s="2" t="s">
        <v>4</v>
      </c>
    </row>
    <row r="5" spans="1:2" x14ac:dyDescent="0.3">
      <c r="A5" s="3" t="s">
        <v>5</v>
      </c>
      <c r="B5" s="2" t="s">
        <v>6</v>
      </c>
    </row>
    <row r="6" spans="1:2" x14ac:dyDescent="0.3">
      <c r="A6" s="3" t="s">
        <v>7</v>
      </c>
      <c r="B6" s="2" t="s">
        <v>8</v>
      </c>
    </row>
    <row r="7" spans="1:2" x14ac:dyDescent="0.3">
      <c r="A7" s="3" t="s">
        <v>9</v>
      </c>
      <c r="B7" s="2" t="s">
        <v>10</v>
      </c>
    </row>
    <row r="8" spans="1:2" x14ac:dyDescent="0.3">
      <c r="A8" s="3"/>
      <c r="B8" s="2"/>
    </row>
    <row r="9" spans="1:2" x14ac:dyDescent="0.3">
      <c r="A9" s="4" t="s">
        <v>11</v>
      </c>
      <c r="B9" s="2"/>
    </row>
    <row r="10" spans="1:2" x14ac:dyDescent="0.3">
      <c r="A10" s="3" t="s">
        <v>12</v>
      </c>
      <c r="B10" s="2" t="s">
        <v>13</v>
      </c>
    </row>
    <row r="11" spans="1:2" ht="26.4" x14ac:dyDescent="0.3">
      <c r="A11" s="3" t="s">
        <v>14</v>
      </c>
      <c r="B11" s="2" t="s">
        <v>15</v>
      </c>
    </row>
    <row r="12" spans="1:2" x14ac:dyDescent="0.3">
      <c r="A12" s="3" t="s">
        <v>16</v>
      </c>
      <c r="B12" s="2" t="s">
        <v>17</v>
      </c>
    </row>
    <row r="13" spans="1:2" x14ac:dyDescent="0.3">
      <c r="A13" s="3" t="s">
        <v>18</v>
      </c>
      <c r="B13" s="2" t="s">
        <v>19</v>
      </c>
    </row>
    <row r="14" spans="1:2" ht="39.6" x14ac:dyDescent="0.3">
      <c r="A14" s="3" t="s">
        <v>20</v>
      </c>
      <c r="B14" s="2" t="s">
        <v>21</v>
      </c>
    </row>
    <row r="15" spans="1:2" x14ac:dyDescent="0.3">
      <c r="A15" s="3"/>
      <c r="B15" s="2"/>
    </row>
    <row r="16" spans="1:2" x14ac:dyDescent="0.3">
      <c r="A16" s="4" t="s">
        <v>22</v>
      </c>
      <c r="B16" s="2"/>
    </row>
    <row r="17" spans="1:2" ht="39.6" x14ac:dyDescent="0.3">
      <c r="A17" s="3" t="s">
        <v>23</v>
      </c>
      <c r="B17" s="5" t="s">
        <v>24</v>
      </c>
    </row>
    <row r="18" spans="1:2" ht="26.4" x14ac:dyDescent="0.3">
      <c r="A18" s="3" t="s">
        <v>25</v>
      </c>
      <c r="B18" s="2" t="s">
        <v>26</v>
      </c>
    </row>
    <row r="19" spans="1:2" ht="26.4" x14ac:dyDescent="0.3">
      <c r="A19" s="3" t="s">
        <v>27</v>
      </c>
      <c r="B19" s="2" t="s">
        <v>28</v>
      </c>
    </row>
    <row r="20" spans="1:2" x14ac:dyDescent="0.3">
      <c r="A20" s="3" t="s">
        <v>29</v>
      </c>
      <c r="B20" s="2" t="s">
        <v>30</v>
      </c>
    </row>
    <row r="21" spans="1:2" ht="26.4" x14ac:dyDescent="0.3">
      <c r="A21" s="3" t="s">
        <v>31</v>
      </c>
      <c r="B21" s="2" t="s">
        <v>32</v>
      </c>
    </row>
    <row r="22" spans="1:2" x14ac:dyDescent="0.3">
      <c r="A22" s="3"/>
      <c r="B22" s="2"/>
    </row>
    <row r="23" spans="1:2" ht="39.6" x14ac:dyDescent="0.3">
      <c r="A23" s="3" t="s">
        <v>33</v>
      </c>
      <c r="B23" s="2" t="s">
        <v>34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8"/>
  <sheetViews>
    <sheetView showGridLines="0" workbookViewId="0"/>
  </sheetViews>
  <sheetFormatPr defaultRowHeight="14.4" x14ac:dyDescent="0.3"/>
  <cols>
    <col min="1" max="1" width="22" customWidth="1"/>
    <col min="2" max="9" width="12" customWidth="1"/>
  </cols>
  <sheetData>
    <row r="1" spans="1:9" ht="17.399999999999999" x14ac:dyDescent="0.3">
      <c r="A1" s="6" t="s">
        <v>35</v>
      </c>
    </row>
    <row r="3" spans="1:9" x14ac:dyDescent="0.3">
      <c r="A3" s="7" t="s">
        <v>36</v>
      </c>
      <c r="B3" s="7" t="s">
        <v>37</v>
      </c>
      <c r="C3" s="7" t="s">
        <v>38</v>
      </c>
      <c r="D3" s="7" t="s">
        <v>39</v>
      </c>
      <c r="E3" s="7" t="s">
        <v>40</v>
      </c>
      <c r="F3" s="7" t="s">
        <v>41</v>
      </c>
      <c r="G3" s="7" t="s">
        <v>42</v>
      </c>
      <c r="H3" s="7" t="s">
        <v>43</v>
      </c>
      <c r="I3" s="7" t="s">
        <v>44</v>
      </c>
    </row>
    <row r="4" spans="1:9" x14ac:dyDescent="0.3">
      <c r="A4" s="8" t="s">
        <v>45</v>
      </c>
      <c r="B4" s="9">
        <f>COUNTIF('Test Cases'!$B$2:$B$155,A4)</f>
        <v>20</v>
      </c>
      <c r="C4" s="9">
        <f>COUNTIFS('Test Cases'!$B$2:$B$155,$A4,'Test Cases'!$N$2:$N$155,"Pass")</f>
        <v>2</v>
      </c>
      <c r="D4" s="9">
        <f>COUNTIFS('Test Cases'!$B$2:$B$155,$A4,'Test Cases'!$N$2:$N$155,"Fail")</f>
        <v>0</v>
      </c>
      <c r="E4" s="9">
        <f>COUNTIFS('Test Cases'!$B$2:$B$155,$A4,'Test Cases'!$N$2:$N$155,"Blocked")</f>
        <v>0</v>
      </c>
      <c r="F4" s="9">
        <f>COUNTIFS('Test Cases'!$B$2:$B$155,$A4,'Test Cases'!$N$2:$N$155,"N/A")</f>
        <v>0</v>
      </c>
      <c r="G4" s="9">
        <f>COUNTIFS('Test Cases'!$B$2:$B$155,$A4,'Test Cases'!$N$2:$N$155,"Not Run")</f>
        <v>18</v>
      </c>
      <c r="H4" s="10">
        <f t="shared" ref="H4:H9" si="0">IF(B4=0,0,(B4-G4)/B4)</f>
        <v>0.1</v>
      </c>
      <c r="I4" s="10">
        <f t="shared" ref="I4:I9" si="1">IF(C4+D4=0,0,C4/(C4+D4))</f>
        <v>1</v>
      </c>
    </row>
    <row r="5" spans="1:9" x14ac:dyDescent="0.3">
      <c r="A5" s="8" t="s">
        <v>46</v>
      </c>
      <c r="B5" s="9">
        <f>COUNTIF('Test Cases'!$B$2:$B$155,A5)</f>
        <v>109</v>
      </c>
      <c r="C5" s="9">
        <f>COUNTIFS('Test Cases'!$B$2:$B$155,$A5,'Test Cases'!$N$2:$N$155,"Pass")</f>
        <v>3</v>
      </c>
      <c r="D5" s="9">
        <f>COUNTIFS('Test Cases'!$B$2:$B$155,$A5,'Test Cases'!$N$2:$N$155,"Fail")</f>
        <v>0</v>
      </c>
      <c r="E5" s="9">
        <f>COUNTIFS('Test Cases'!$B$2:$B$155,$A5,'Test Cases'!$N$2:$N$155,"Blocked")</f>
        <v>1</v>
      </c>
      <c r="F5" s="9">
        <f>COUNTIFS('Test Cases'!$B$2:$B$155,$A5,'Test Cases'!$N$2:$N$155,"N/A")</f>
        <v>0</v>
      </c>
      <c r="G5" s="9">
        <f>COUNTIFS('Test Cases'!$B$2:$B$155,$A5,'Test Cases'!$N$2:$N$155,"Not Run")</f>
        <v>105</v>
      </c>
      <c r="H5" s="10">
        <f t="shared" si="0"/>
        <v>3.669724770642202E-2</v>
      </c>
      <c r="I5" s="10">
        <f t="shared" si="1"/>
        <v>1</v>
      </c>
    </row>
    <row r="6" spans="1:9" x14ac:dyDescent="0.3">
      <c r="A6" s="8" t="s">
        <v>47</v>
      </c>
      <c r="B6" s="9">
        <f>COUNTIF('Test Cases'!$B$2:$B$155,A6)</f>
        <v>3</v>
      </c>
      <c r="C6" s="9">
        <f>COUNTIFS('Test Cases'!$B$2:$B$155,$A6,'Test Cases'!$N$2:$N$155,"Pass")</f>
        <v>0</v>
      </c>
      <c r="D6" s="9">
        <f>COUNTIFS('Test Cases'!$B$2:$B$155,$A6,'Test Cases'!$N$2:$N$155,"Fail")</f>
        <v>0</v>
      </c>
      <c r="E6" s="9">
        <f>COUNTIFS('Test Cases'!$B$2:$B$155,$A6,'Test Cases'!$N$2:$N$155,"Blocked")</f>
        <v>0</v>
      </c>
      <c r="F6" s="9">
        <f>COUNTIFS('Test Cases'!$B$2:$B$155,$A6,'Test Cases'!$N$2:$N$155,"N/A")</f>
        <v>0</v>
      </c>
      <c r="G6" s="9">
        <f>COUNTIFS('Test Cases'!$B$2:$B$155,$A6,'Test Cases'!$N$2:$N$155,"Not Run")</f>
        <v>3</v>
      </c>
      <c r="H6" s="10">
        <f t="shared" si="0"/>
        <v>0</v>
      </c>
      <c r="I6" s="10">
        <f t="shared" si="1"/>
        <v>0</v>
      </c>
    </row>
    <row r="7" spans="1:9" x14ac:dyDescent="0.3">
      <c r="A7" s="8" t="s">
        <v>48</v>
      </c>
      <c r="B7" s="9">
        <f>COUNTIF('Test Cases'!$B$2:$B$155,A7)</f>
        <v>6</v>
      </c>
      <c r="C7" s="9">
        <f>COUNTIFS('Test Cases'!$B$2:$B$155,$A7,'Test Cases'!$N$2:$N$155,"Pass")</f>
        <v>0</v>
      </c>
      <c r="D7" s="9">
        <f>COUNTIFS('Test Cases'!$B$2:$B$155,$A7,'Test Cases'!$N$2:$N$155,"Fail")</f>
        <v>0</v>
      </c>
      <c r="E7" s="9">
        <f>COUNTIFS('Test Cases'!$B$2:$B$155,$A7,'Test Cases'!$N$2:$N$155,"Blocked")</f>
        <v>0</v>
      </c>
      <c r="F7" s="9">
        <f>COUNTIFS('Test Cases'!$B$2:$B$155,$A7,'Test Cases'!$N$2:$N$155,"N/A")</f>
        <v>0</v>
      </c>
      <c r="G7" s="9">
        <f>COUNTIFS('Test Cases'!$B$2:$B$155,$A7,'Test Cases'!$N$2:$N$155,"Not Run")</f>
        <v>6</v>
      </c>
      <c r="H7" s="10">
        <f t="shared" si="0"/>
        <v>0</v>
      </c>
      <c r="I7" s="10">
        <f t="shared" si="1"/>
        <v>0</v>
      </c>
    </row>
    <row r="8" spans="1:9" x14ac:dyDescent="0.3">
      <c r="A8" s="8" t="s">
        <v>49</v>
      </c>
      <c r="B8" s="9">
        <f>COUNTIF('Test Cases'!$B$2:$B$155,A8)</f>
        <v>16</v>
      </c>
      <c r="C8" s="9">
        <f>COUNTIFS('Test Cases'!$B$2:$B$155,$A8,'Test Cases'!$N$2:$N$155,"Pass")</f>
        <v>4</v>
      </c>
      <c r="D8" s="9">
        <f>COUNTIFS('Test Cases'!$B$2:$B$155,$A8,'Test Cases'!$N$2:$N$155,"Fail")</f>
        <v>1</v>
      </c>
      <c r="E8" s="9">
        <f>COUNTIFS('Test Cases'!$B$2:$B$155,$A8,'Test Cases'!$N$2:$N$155,"Blocked")</f>
        <v>0</v>
      </c>
      <c r="F8" s="9">
        <f>COUNTIFS('Test Cases'!$B$2:$B$155,$A8,'Test Cases'!$N$2:$N$155,"N/A")</f>
        <v>0</v>
      </c>
      <c r="G8" s="9">
        <f>COUNTIFS('Test Cases'!$B$2:$B$155,$A8,'Test Cases'!$N$2:$N$155,"Not Run")</f>
        <v>11</v>
      </c>
      <c r="H8" s="10">
        <f t="shared" si="0"/>
        <v>0.3125</v>
      </c>
      <c r="I8" s="10">
        <f t="shared" si="1"/>
        <v>0.8</v>
      </c>
    </row>
    <row r="9" spans="1:9" x14ac:dyDescent="0.3">
      <c r="A9" s="8" t="s">
        <v>37</v>
      </c>
      <c r="B9" s="11">
        <f t="shared" ref="B9:G9" si="2">SUM(B4:B8)</f>
        <v>154</v>
      </c>
      <c r="C9" s="11">
        <f t="shared" si="2"/>
        <v>9</v>
      </c>
      <c r="D9" s="11">
        <f t="shared" si="2"/>
        <v>1</v>
      </c>
      <c r="E9" s="11">
        <f t="shared" si="2"/>
        <v>1</v>
      </c>
      <c r="F9" s="11">
        <f t="shared" si="2"/>
        <v>0</v>
      </c>
      <c r="G9" s="11">
        <f t="shared" si="2"/>
        <v>143</v>
      </c>
      <c r="H9" s="12">
        <f t="shared" si="0"/>
        <v>7.1428571428571425E-2</v>
      </c>
      <c r="I9" s="12">
        <f t="shared" si="1"/>
        <v>0.9</v>
      </c>
    </row>
    <row r="11" spans="1:9" x14ac:dyDescent="0.3">
      <c r="A11" s="13" t="s">
        <v>50</v>
      </c>
    </row>
    <row r="12" spans="1:9" x14ac:dyDescent="0.3">
      <c r="A12" s="7" t="s">
        <v>51</v>
      </c>
      <c r="B12" s="7" t="s">
        <v>37</v>
      </c>
      <c r="C12" s="7" t="s">
        <v>38</v>
      </c>
      <c r="D12" s="7" t="s">
        <v>39</v>
      </c>
      <c r="E12" s="7" t="s">
        <v>40</v>
      </c>
      <c r="F12" s="7" t="s">
        <v>41</v>
      </c>
      <c r="G12" s="7" t="s">
        <v>42</v>
      </c>
    </row>
    <row r="13" spans="1:9" x14ac:dyDescent="0.3">
      <c r="A13" s="8" t="s">
        <v>52</v>
      </c>
      <c r="B13" s="9">
        <f>COUNTIF('Test Cases'!$H$2:$H$155,A13)</f>
        <v>102</v>
      </c>
      <c r="C13" s="9">
        <f>COUNTIFS('Test Cases'!$H$2:$H$155,$A13,'Test Cases'!$N$2:$N$155,"Pass")</f>
        <v>8</v>
      </c>
      <c r="D13" s="9">
        <f>COUNTIFS('Test Cases'!$H$2:$H$155,$A13,'Test Cases'!$N$2:$N$155,"Fail")</f>
        <v>1</v>
      </c>
      <c r="E13" s="9">
        <f>COUNTIFS('Test Cases'!$H$2:$H$155,$A13,'Test Cases'!$N$2:$N$155,"Blocked")</f>
        <v>1</v>
      </c>
      <c r="F13" s="9">
        <f>COUNTIFS('Test Cases'!$H$2:$H$155,$A13,'Test Cases'!$N$2:$N$155,"N/A")</f>
        <v>0</v>
      </c>
      <c r="G13" s="9">
        <f>COUNTIFS('Test Cases'!$H$2:$H$155,$A13,'Test Cases'!$N$2:$N$155,"Not Run")</f>
        <v>92</v>
      </c>
    </row>
    <row r="14" spans="1:9" x14ac:dyDescent="0.3">
      <c r="A14" s="8" t="s">
        <v>53</v>
      </c>
      <c r="B14" s="9">
        <f>COUNTIF('Test Cases'!$H$2:$H$155,A14)</f>
        <v>52</v>
      </c>
      <c r="C14" s="9">
        <f>COUNTIFS('Test Cases'!$H$2:$H$155,$A14,'Test Cases'!$N$2:$N$155,"Pass")</f>
        <v>1</v>
      </c>
      <c r="D14" s="9">
        <f>COUNTIFS('Test Cases'!$H$2:$H$155,$A14,'Test Cases'!$N$2:$N$155,"Fail")</f>
        <v>0</v>
      </c>
      <c r="E14" s="9">
        <f>COUNTIFS('Test Cases'!$H$2:$H$155,$A14,'Test Cases'!$N$2:$N$155,"Blocked")</f>
        <v>0</v>
      </c>
      <c r="F14" s="9">
        <f>COUNTIFS('Test Cases'!$H$2:$H$155,$A14,'Test Cases'!$N$2:$N$155,"N/A")</f>
        <v>0</v>
      </c>
      <c r="G14" s="9">
        <f>COUNTIFS('Test Cases'!$H$2:$H$155,$A14,'Test Cases'!$N$2:$N$155,"Not Run")</f>
        <v>51</v>
      </c>
    </row>
    <row r="16" spans="1:9" x14ac:dyDescent="0.3">
      <c r="A16" s="13" t="s">
        <v>54</v>
      </c>
    </row>
    <row r="17" spans="1:4" x14ac:dyDescent="0.3">
      <c r="A17" s="8" t="s">
        <v>55</v>
      </c>
      <c r="B17" s="9">
        <f>COUNTIF('Test Cases'!$M$2:$M$155,"Y")</f>
        <v>25</v>
      </c>
    </row>
    <row r="18" spans="1:4" x14ac:dyDescent="0.3">
      <c r="A18" s="8" t="s">
        <v>56</v>
      </c>
      <c r="B18" s="9">
        <f>COUNTIFS('Test Cases'!$M$2:$M$155,"Y",'Test Cases'!$N$2:$N$155,"&lt;&gt;Not Run")</f>
        <v>3</v>
      </c>
    </row>
    <row r="19" spans="1:4" x14ac:dyDescent="0.3">
      <c r="A19" s="8" t="s">
        <v>57</v>
      </c>
      <c r="B19" s="9">
        <f>COUNTIFS('Test Cases'!$M$2:$M$155,"Y",'Test Cases'!$N$2:$N$155,"Fail")</f>
        <v>0</v>
      </c>
    </row>
    <row r="21" spans="1:4" x14ac:dyDescent="0.3">
      <c r="A21" s="13" t="s">
        <v>58</v>
      </c>
    </row>
    <row r="22" spans="1:4" x14ac:dyDescent="0.3">
      <c r="A22" s="8" t="s">
        <v>59</v>
      </c>
      <c r="B22" s="9">
        <f>COUNTA(RTM!$A$2:$A$41)</f>
        <v>40</v>
      </c>
    </row>
    <row r="23" spans="1:4" x14ac:dyDescent="0.3">
      <c r="A23" s="8" t="s">
        <v>60</v>
      </c>
      <c r="B23" s="9">
        <f>COUNTIF(RTM!$H$2:$H$41,"&gt;0")</f>
        <v>40</v>
      </c>
    </row>
    <row r="24" spans="1:4" x14ac:dyDescent="0.3">
      <c r="A24" s="8" t="s">
        <v>61</v>
      </c>
      <c r="B24" s="10">
        <f>IF(B22=0,0,B23/B22)</f>
        <v>1</v>
      </c>
    </row>
    <row r="25" spans="1:4" x14ac:dyDescent="0.3">
      <c r="A25" s="8" t="s">
        <v>62</v>
      </c>
      <c r="B25" s="9">
        <f>COUNTIF(RTM!$O$2:$O$41,"Pass")</f>
        <v>0</v>
      </c>
    </row>
    <row r="26" spans="1:4" x14ac:dyDescent="0.3">
      <c r="A26" s="8" t="s">
        <v>63</v>
      </c>
      <c r="B26" s="9">
        <f>COUNTIF(RTM!$O$2:$O$41,"Fail")</f>
        <v>2</v>
      </c>
    </row>
    <row r="27" spans="1:4" x14ac:dyDescent="0.3">
      <c r="A27" s="8" t="s">
        <v>64</v>
      </c>
      <c r="B27" s="9">
        <f>COUNTIF(RTM!$O$2:$O$41,"In progress")</f>
        <v>5</v>
      </c>
    </row>
    <row r="28" spans="1:4" x14ac:dyDescent="0.3">
      <c r="A28" s="8" t="s">
        <v>65</v>
      </c>
      <c r="B28" s="9">
        <f>COUNTIF(RTM!$O$2:$O$41,"Not run")</f>
        <v>33</v>
      </c>
    </row>
    <row r="29" spans="1:4" x14ac:dyDescent="0.3">
      <c r="A29" s="8" t="s">
        <v>66</v>
      </c>
      <c r="B29" s="9">
        <f>COUNTIF(RTM!$O$2:$O$41,"No coverage")</f>
        <v>0</v>
      </c>
    </row>
    <row r="31" spans="1:4" x14ac:dyDescent="0.3">
      <c r="A31" s="13" t="s">
        <v>18</v>
      </c>
    </row>
    <row r="32" spans="1:4" x14ac:dyDescent="0.3">
      <c r="A32" s="7" t="s">
        <v>67</v>
      </c>
      <c r="B32" s="7" t="s">
        <v>52</v>
      </c>
      <c r="C32" s="7" t="s">
        <v>53</v>
      </c>
      <c r="D32" s="7" t="s">
        <v>37</v>
      </c>
    </row>
    <row r="33" spans="1:4" x14ac:dyDescent="0.3">
      <c r="A33" s="8" t="s">
        <v>68</v>
      </c>
      <c r="B33" s="9">
        <f>COUNTIFS(Findings!$I$2:$I$33,A33,Findings!$B$2:$B$33,"P1*")</f>
        <v>16</v>
      </c>
      <c r="C33" s="9">
        <f>COUNTIFS(Findings!$I$2:$I$33,A33,Findings!$B$2:$B$33,"P2*")</f>
        <v>16</v>
      </c>
      <c r="D33" s="9">
        <f t="shared" ref="D33:D38" si="3">B33+C33</f>
        <v>32</v>
      </c>
    </row>
    <row r="34" spans="1:4" x14ac:dyDescent="0.3">
      <c r="A34" s="8" t="s">
        <v>69</v>
      </c>
      <c r="B34" s="9">
        <f>COUNTIFS(Findings!$I$2:$I$33,A34,Findings!$B$2:$B$33,"P1*")</f>
        <v>0</v>
      </c>
      <c r="C34" s="9">
        <f>COUNTIFS(Findings!$I$2:$I$33,A34,Findings!$B$2:$B$33,"P2*")</f>
        <v>0</v>
      </c>
      <c r="D34" s="9">
        <f t="shared" si="3"/>
        <v>0</v>
      </c>
    </row>
    <row r="35" spans="1:4" x14ac:dyDescent="0.3">
      <c r="A35" s="8" t="s">
        <v>70</v>
      </c>
      <c r="B35" s="9">
        <f>COUNTIFS(Findings!$I$2:$I$33,A35,Findings!$B$2:$B$33,"P1*")</f>
        <v>0</v>
      </c>
      <c r="C35" s="9">
        <f>COUNTIFS(Findings!$I$2:$I$33,A35,Findings!$B$2:$B$33,"P2*")</f>
        <v>0</v>
      </c>
      <c r="D35" s="9">
        <f t="shared" si="3"/>
        <v>0</v>
      </c>
    </row>
    <row r="36" spans="1:4" x14ac:dyDescent="0.3">
      <c r="A36" s="8" t="s">
        <v>71</v>
      </c>
      <c r="B36" s="9">
        <f>COUNTIFS(Findings!$I$2:$I$33,A36,Findings!$B$2:$B$33,"P1*")</f>
        <v>0</v>
      </c>
      <c r="C36" s="9">
        <f>COUNTIFS(Findings!$I$2:$I$33,A36,Findings!$B$2:$B$33,"P2*")</f>
        <v>0</v>
      </c>
      <c r="D36" s="9">
        <f t="shared" si="3"/>
        <v>0</v>
      </c>
    </row>
    <row r="37" spans="1:4" x14ac:dyDescent="0.3">
      <c r="A37" s="8" t="s">
        <v>72</v>
      </c>
      <c r="B37" s="9">
        <f>COUNTIFS(Findings!$I$2:$I$33,A37,Findings!$B$2:$B$33,"P1*")</f>
        <v>0</v>
      </c>
      <c r="C37" s="9">
        <f>COUNTIFS(Findings!$I$2:$I$33,A37,Findings!$B$2:$B$33,"P2*")</f>
        <v>0</v>
      </c>
      <c r="D37" s="9">
        <f t="shared" si="3"/>
        <v>0</v>
      </c>
    </row>
    <row r="38" spans="1:4" x14ac:dyDescent="0.3">
      <c r="A38" s="8" t="s">
        <v>73</v>
      </c>
      <c r="B38" s="9">
        <f>COUNTIFS(Findings!$I$2:$I$33,A38,Findings!$B$2:$B$33,"P1*")</f>
        <v>0</v>
      </c>
      <c r="C38" s="9">
        <f>COUNTIFS(Findings!$I$2:$I$33,A38,Findings!$B$2:$B$33,"P2*")</f>
        <v>0</v>
      </c>
      <c r="D38" s="9">
        <f t="shared" si="3"/>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55"/>
  <sheetViews>
    <sheetView workbookViewId="0">
      <pane xSplit="1" ySplit="1" topLeftCell="B2" activePane="bottomRight" state="frozen"/>
      <selection pane="topRight"/>
      <selection pane="bottomLeft"/>
      <selection pane="bottomRight"/>
    </sheetView>
  </sheetViews>
  <sheetFormatPr defaultRowHeight="14.4" x14ac:dyDescent="0.3"/>
  <cols>
    <col min="1" max="1" width="9" customWidth="1"/>
    <col min="2" max="2" width="12" customWidth="1"/>
    <col min="3" max="3" width="18" customWidth="1"/>
    <col min="4" max="4" width="14" customWidth="1"/>
    <col min="5" max="5" width="22" customWidth="1"/>
    <col min="6" max="7" width="50" customWidth="1"/>
    <col min="8" max="8" width="8" customWidth="1"/>
    <col min="9" max="10" width="18" customWidth="1"/>
    <col min="11" max="11" width="11" customWidth="1"/>
    <col min="12" max="12" width="13" customWidth="1"/>
    <col min="13" max="13" width="7" customWidth="1"/>
    <col min="14" max="14" width="11" customWidth="1"/>
    <col min="15" max="15" width="30" customWidth="1"/>
    <col min="16" max="17" width="14" customWidth="1"/>
    <col min="18" max="18" width="12" customWidth="1"/>
    <col min="19" max="19" width="13" customWidth="1"/>
    <col min="20" max="20" width="24" customWidth="1"/>
  </cols>
  <sheetData>
    <row r="1" spans="1:20" ht="31.95" customHeight="1" x14ac:dyDescent="0.3">
      <c r="A1" s="14" t="s">
        <v>74</v>
      </c>
      <c r="B1" s="14" t="s">
        <v>36</v>
      </c>
      <c r="C1" s="14" t="s">
        <v>46</v>
      </c>
      <c r="D1" s="14" t="s">
        <v>75</v>
      </c>
      <c r="E1" s="14" t="s">
        <v>76</v>
      </c>
      <c r="F1" s="14" t="s">
        <v>77</v>
      </c>
      <c r="G1" s="14" t="s">
        <v>78</v>
      </c>
      <c r="H1" s="14" t="s">
        <v>51</v>
      </c>
      <c r="I1" s="14" t="s">
        <v>79</v>
      </c>
      <c r="J1" s="14" t="s">
        <v>20</v>
      </c>
      <c r="K1" s="14" t="s">
        <v>80</v>
      </c>
      <c r="L1" s="14" t="s">
        <v>81</v>
      </c>
      <c r="M1" s="14" t="s">
        <v>82</v>
      </c>
      <c r="N1" s="14" t="s">
        <v>67</v>
      </c>
      <c r="O1" s="14" t="s">
        <v>83</v>
      </c>
      <c r="P1" s="14" t="s">
        <v>84</v>
      </c>
      <c r="Q1" s="14" t="s">
        <v>85</v>
      </c>
      <c r="R1" s="14" t="s">
        <v>86</v>
      </c>
      <c r="S1" s="14" t="s">
        <v>87</v>
      </c>
      <c r="T1" s="14" t="s">
        <v>88</v>
      </c>
    </row>
    <row r="2" spans="1:20" ht="34.200000000000003" x14ac:dyDescent="0.3">
      <c r="A2" s="11" t="s">
        <v>89</v>
      </c>
      <c r="B2" s="9" t="s">
        <v>45</v>
      </c>
      <c r="C2" s="15" t="s">
        <v>90</v>
      </c>
      <c r="D2" s="15" t="s">
        <v>91</v>
      </c>
      <c r="E2" s="15" t="s">
        <v>92</v>
      </c>
      <c r="F2" s="15" t="s">
        <v>93</v>
      </c>
      <c r="G2" s="15" t="s">
        <v>94</v>
      </c>
      <c r="H2" s="9" t="s">
        <v>52</v>
      </c>
      <c r="I2" s="15" t="s">
        <v>95</v>
      </c>
      <c r="J2" s="15" t="s">
        <v>96</v>
      </c>
      <c r="K2" s="9"/>
      <c r="L2" s="9" t="s">
        <v>97</v>
      </c>
      <c r="M2" s="9" t="s">
        <v>98</v>
      </c>
      <c r="N2" s="16" t="s">
        <v>38</v>
      </c>
      <c r="O2" s="17" t="s">
        <v>99</v>
      </c>
      <c r="P2" s="17"/>
      <c r="Q2" s="17" t="s">
        <v>100</v>
      </c>
      <c r="R2" s="18">
        <v>46302</v>
      </c>
      <c r="S2" s="16" t="s">
        <v>101</v>
      </c>
      <c r="T2" s="17"/>
    </row>
    <row r="3" spans="1:20" ht="22.8" x14ac:dyDescent="0.3">
      <c r="A3" s="11" t="s">
        <v>102</v>
      </c>
      <c r="B3" s="9" t="s">
        <v>45</v>
      </c>
      <c r="C3" s="15" t="s">
        <v>90</v>
      </c>
      <c r="D3" s="15" t="s">
        <v>91</v>
      </c>
      <c r="E3" s="15" t="s">
        <v>92</v>
      </c>
      <c r="F3" s="15" t="s">
        <v>103</v>
      </c>
      <c r="G3" s="15" t="s">
        <v>104</v>
      </c>
      <c r="H3" s="9" t="s">
        <v>52</v>
      </c>
      <c r="I3" s="15" t="s">
        <v>95</v>
      </c>
      <c r="J3" s="15" t="s">
        <v>105</v>
      </c>
      <c r="K3" s="9"/>
      <c r="L3" s="9" t="s">
        <v>97</v>
      </c>
      <c r="M3" s="9" t="s">
        <v>106</v>
      </c>
      <c r="N3" s="16" t="s">
        <v>42</v>
      </c>
      <c r="O3" s="17"/>
      <c r="P3" s="17"/>
      <c r="Q3" s="17"/>
      <c r="R3" s="18"/>
      <c r="S3" s="16"/>
      <c r="T3" s="17"/>
    </row>
    <row r="4" spans="1:20" ht="22.8" x14ac:dyDescent="0.3">
      <c r="A4" s="11" t="s">
        <v>107</v>
      </c>
      <c r="B4" s="9" t="s">
        <v>45</v>
      </c>
      <c r="C4" s="15" t="s">
        <v>90</v>
      </c>
      <c r="D4" s="15" t="s">
        <v>91</v>
      </c>
      <c r="E4" s="15" t="s">
        <v>92</v>
      </c>
      <c r="F4" s="15" t="s">
        <v>108</v>
      </c>
      <c r="G4" s="15" t="s">
        <v>109</v>
      </c>
      <c r="H4" s="9" t="s">
        <v>52</v>
      </c>
      <c r="I4" s="15" t="s">
        <v>95</v>
      </c>
      <c r="J4" s="15" t="s">
        <v>110</v>
      </c>
      <c r="K4" s="9"/>
      <c r="L4" s="9" t="s">
        <v>97</v>
      </c>
      <c r="M4" s="9" t="s">
        <v>98</v>
      </c>
      <c r="N4" s="16" t="s">
        <v>42</v>
      </c>
      <c r="O4" s="17"/>
      <c r="P4" s="17"/>
      <c r="Q4" s="17"/>
      <c r="R4" s="18"/>
      <c r="S4" s="16"/>
      <c r="T4" s="17"/>
    </row>
    <row r="5" spans="1:20" ht="22.8" x14ac:dyDescent="0.3">
      <c r="A5" s="11" t="s">
        <v>111</v>
      </c>
      <c r="B5" s="9" t="s">
        <v>45</v>
      </c>
      <c r="C5" s="15" t="s">
        <v>90</v>
      </c>
      <c r="D5" s="15" t="s">
        <v>91</v>
      </c>
      <c r="E5" s="15" t="s">
        <v>92</v>
      </c>
      <c r="F5" s="15" t="s">
        <v>112</v>
      </c>
      <c r="G5" s="15" t="s">
        <v>113</v>
      </c>
      <c r="H5" s="9" t="s">
        <v>52</v>
      </c>
      <c r="I5" s="15" t="s">
        <v>95</v>
      </c>
      <c r="J5" s="15" t="s">
        <v>105</v>
      </c>
      <c r="K5" s="9"/>
      <c r="L5" s="9" t="s">
        <v>97</v>
      </c>
      <c r="M5" s="9" t="s">
        <v>98</v>
      </c>
      <c r="N5" s="16" t="s">
        <v>42</v>
      </c>
      <c r="O5" s="17"/>
      <c r="P5" s="17"/>
      <c r="Q5" s="17"/>
      <c r="R5" s="18"/>
      <c r="S5" s="16"/>
      <c r="T5" s="17"/>
    </row>
    <row r="6" spans="1:20" ht="45.6" x14ac:dyDescent="0.3">
      <c r="A6" s="11" t="s">
        <v>114</v>
      </c>
      <c r="B6" s="9" t="s">
        <v>45</v>
      </c>
      <c r="C6" s="15" t="s">
        <v>90</v>
      </c>
      <c r="D6" s="15" t="s">
        <v>91</v>
      </c>
      <c r="E6" s="15" t="s">
        <v>92</v>
      </c>
      <c r="F6" s="15" t="s">
        <v>115</v>
      </c>
      <c r="G6" s="15" t="s">
        <v>116</v>
      </c>
      <c r="H6" s="9" t="s">
        <v>52</v>
      </c>
      <c r="I6" s="15" t="s">
        <v>95</v>
      </c>
      <c r="J6" s="15" t="s">
        <v>105</v>
      </c>
      <c r="K6" s="9"/>
      <c r="L6" s="9" t="s">
        <v>97</v>
      </c>
      <c r="M6" s="9" t="s">
        <v>98</v>
      </c>
      <c r="N6" s="16" t="s">
        <v>42</v>
      </c>
      <c r="O6" s="17"/>
      <c r="P6" s="17"/>
      <c r="Q6" s="17"/>
      <c r="R6" s="18"/>
      <c r="S6" s="16"/>
      <c r="T6" s="17"/>
    </row>
    <row r="7" spans="1:20" ht="22.8" x14ac:dyDescent="0.3">
      <c r="A7" s="11" t="s">
        <v>117</v>
      </c>
      <c r="B7" s="9" t="s">
        <v>45</v>
      </c>
      <c r="C7" s="15" t="s">
        <v>90</v>
      </c>
      <c r="D7" s="15" t="s">
        <v>91</v>
      </c>
      <c r="E7" s="15" t="s">
        <v>92</v>
      </c>
      <c r="F7" s="15" t="s">
        <v>118</v>
      </c>
      <c r="G7" s="15" t="s">
        <v>119</v>
      </c>
      <c r="H7" s="9" t="s">
        <v>52</v>
      </c>
      <c r="I7" s="15" t="s">
        <v>95</v>
      </c>
      <c r="J7" s="15" t="s">
        <v>120</v>
      </c>
      <c r="K7" s="9"/>
      <c r="L7" s="9" t="s">
        <v>97</v>
      </c>
      <c r="M7" s="9" t="s">
        <v>98</v>
      </c>
      <c r="N7" s="16" t="s">
        <v>42</v>
      </c>
      <c r="O7" s="17"/>
      <c r="P7" s="17"/>
      <c r="Q7" s="17"/>
      <c r="R7" s="18"/>
      <c r="S7" s="16"/>
      <c r="T7" s="17"/>
    </row>
    <row r="8" spans="1:20" ht="22.8" x14ac:dyDescent="0.3">
      <c r="A8" s="11" t="s">
        <v>121</v>
      </c>
      <c r="B8" s="9" t="s">
        <v>45</v>
      </c>
      <c r="C8" s="15" t="s">
        <v>90</v>
      </c>
      <c r="D8" s="15" t="s">
        <v>91</v>
      </c>
      <c r="E8" s="15" t="s">
        <v>92</v>
      </c>
      <c r="F8" s="15" t="s">
        <v>122</v>
      </c>
      <c r="G8" s="15" t="s">
        <v>123</v>
      </c>
      <c r="H8" s="9" t="s">
        <v>52</v>
      </c>
      <c r="I8" s="15" t="s">
        <v>95</v>
      </c>
      <c r="J8" s="15" t="s">
        <v>124</v>
      </c>
      <c r="K8" s="9"/>
      <c r="L8" s="9" t="s">
        <v>97</v>
      </c>
      <c r="M8" s="9" t="s">
        <v>98</v>
      </c>
      <c r="N8" s="16" t="s">
        <v>42</v>
      </c>
      <c r="O8" s="17"/>
      <c r="P8" s="17"/>
      <c r="Q8" s="17"/>
      <c r="R8" s="18"/>
      <c r="S8" s="16"/>
      <c r="T8" s="17"/>
    </row>
    <row r="9" spans="1:20" ht="34.200000000000003" x14ac:dyDescent="0.3">
      <c r="A9" s="11" t="s">
        <v>125</v>
      </c>
      <c r="B9" s="9" t="s">
        <v>45</v>
      </c>
      <c r="C9" s="15" t="s">
        <v>90</v>
      </c>
      <c r="D9" s="15" t="s">
        <v>91</v>
      </c>
      <c r="E9" s="15" t="s">
        <v>92</v>
      </c>
      <c r="F9" s="15" t="s">
        <v>126</v>
      </c>
      <c r="G9" s="15" t="s">
        <v>127</v>
      </c>
      <c r="H9" s="9" t="s">
        <v>52</v>
      </c>
      <c r="I9" s="15" t="s">
        <v>95</v>
      </c>
      <c r="J9" s="15" t="s">
        <v>128</v>
      </c>
      <c r="K9" s="9"/>
      <c r="L9" s="9" t="s">
        <v>97</v>
      </c>
      <c r="M9" s="9" t="s">
        <v>106</v>
      </c>
      <c r="N9" s="16" t="s">
        <v>42</v>
      </c>
      <c r="O9" s="17"/>
      <c r="P9" s="17"/>
      <c r="Q9" s="17"/>
      <c r="R9" s="18"/>
      <c r="S9" s="16"/>
      <c r="T9" s="17"/>
    </row>
    <row r="10" spans="1:20" ht="34.200000000000003" x14ac:dyDescent="0.3">
      <c r="A10" s="11" t="s">
        <v>129</v>
      </c>
      <c r="B10" s="9" t="s">
        <v>45</v>
      </c>
      <c r="C10" s="15" t="s">
        <v>90</v>
      </c>
      <c r="D10" s="15" t="s">
        <v>91</v>
      </c>
      <c r="E10" s="15" t="s">
        <v>92</v>
      </c>
      <c r="F10" s="15" t="s">
        <v>130</v>
      </c>
      <c r="G10" s="15" t="s">
        <v>131</v>
      </c>
      <c r="H10" s="9" t="s">
        <v>52</v>
      </c>
      <c r="I10" s="15" t="s">
        <v>95</v>
      </c>
      <c r="J10" s="15" t="s">
        <v>132</v>
      </c>
      <c r="K10" s="9"/>
      <c r="L10" s="9" t="s">
        <v>97</v>
      </c>
      <c r="M10" s="9" t="s">
        <v>98</v>
      </c>
      <c r="N10" s="16" t="s">
        <v>42</v>
      </c>
      <c r="O10" s="17"/>
      <c r="P10" s="17"/>
      <c r="Q10" s="17"/>
      <c r="R10" s="18"/>
      <c r="S10" s="16"/>
      <c r="T10" s="17"/>
    </row>
    <row r="11" spans="1:20" ht="22.8" x14ac:dyDescent="0.3">
      <c r="A11" s="11" t="s">
        <v>133</v>
      </c>
      <c r="B11" s="9" t="s">
        <v>45</v>
      </c>
      <c r="C11" s="15" t="s">
        <v>90</v>
      </c>
      <c r="D11" s="15" t="s">
        <v>91</v>
      </c>
      <c r="E11" s="15" t="s">
        <v>92</v>
      </c>
      <c r="F11" s="15" t="s">
        <v>134</v>
      </c>
      <c r="G11" s="15" t="s">
        <v>135</v>
      </c>
      <c r="H11" s="9" t="s">
        <v>52</v>
      </c>
      <c r="I11" s="15" t="s">
        <v>95</v>
      </c>
      <c r="J11" s="15" t="s">
        <v>136</v>
      </c>
      <c r="K11" s="9"/>
      <c r="L11" s="9" t="s">
        <v>97</v>
      </c>
      <c r="M11" s="9" t="s">
        <v>98</v>
      </c>
      <c r="N11" s="16" t="s">
        <v>42</v>
      </c>
      <c r="O11" s="17"/>
      <c r="P11" s="17"/>
      <c r="Q11" s="17"/>
      <c r="R11" s="18"/>
      <c r="S11" s="16"/>
      <c r="T11" s="17"/>
    </row>
    <row r="12" spans="1:20" ht="22.8" x14ac:dyDescent="0.3">
      <c r="A12" s="11" t="s">
        <v>137</v>
      </c>
      <c r="B12" s="9" t="s">
        <v>45</v>
      </c>
      <c r="C12" s="15" t="s">
        <v>90</v>
      </c>
      <c r="D12" s="15" t="s">
        <v>91</v>
      </c>
      <c r="E12" s="15" t="s">
        <v>92</v>
      </c>
      <c r="F12" s="15" t="s">
        <v>138</v>
      </c>
      <c r="G12" s="15" t="s">
        <v>139</v>
      </c>
      <c r="H12" s="9" t="s">
        <v>52</v>
      </c>
      <c r="I12" s="15" t="s">
        <v>95</v>
      </c>
      <c r="J12" s="15" t="s">
        <v>140</v>
      </c>
      <c r="K12" s="9"/>
      <c r="L12" s="9" t="s">
        <v>97</v>
      </c>
      <c r="M12" s="9" t="s">
        <v>98</v>
      </c>
      <c r="N12" s="16" t="s">
        <v>42</v>
      </c>
      <c r="O12" s="17"/>
      <c r="P12" s="17"/>
      <c r="Q12" s="17"/>
      <c r="R12" s="18"/>
      <c r="S12" s="16"/>
      <c r="T12" s="17"/>
    </row>
    <row r="13" spans="1:20" ht="22.8" x14ac:dyDescent="0.3">
      <c r="A13" s="11" t="s">
        <v>141</v>
      </c>
      <c r="B13" s="9" t="s">
        <v>45</v>
      </c>
      <c r="C13" s="15" t="s">
        <v>90</v>
      </c>
      <c r="D13" s="15" t="s">
        <v>91</v>
      </c>
      <c r="E13" s="15" t="s">
        <v>92</v>
      </c>
      <c r="F13" s="15" t="s">
        <v>142</v>
      </c>
      <c r="G13" s="15" t="s">
        <v>143</v>
      </c>
      <c r="H13" s="9" t="s">
        <v>52</v>
      </c>
      <c r="I13" s="15" t="s">
        <v>95</v>
      </c>
      <c r="J13" s="15" t="s">
        <v>110</v>
      </c>
      <c r="K13" s="9"/>
      <c r="L13" s="9" t="s">
        <v>97</v>
      </c>
      <c r="M13" s="9" t="s">
        <v>98</v>
      </c>
      <c r="N13" s="16" t="s">
        <v>42</v>
      </c>
      <c r="O13" s="17"/>
      <c r="P13" s="17"/>
      <c r="Q13" s="17"/>
      <c r="R13" s="18"/>
      <c r="S13" s="16"/>
      <c r="T13" s="17"/>
    </row>
    <row r="14" spans="1:20" ht="34.200000000000003" x14ac:dyDescent="0.3">
      <c r="A14" s="11" t="s">
        <v>144</v>
      </c>
      <c r="B14" s="9" t="s">
        <v>45</v>
      </c>
      <c r="C14" s="15" t="s">
        <v>90</v>
      </c>
      <c r="D14" s="15" t="s">
        <v>91</v>
      </c>
      <c r="E14" s="15" t="s">
        <v>92</v>
      </c>
      <c r="F14" s="15" t="s">
        <v>145</v>
      </c>
      <c r="G14" s="15" t="s">
        <v>146</v>
      </c>
      <c r="H14" s="9" t="s">
        <v>52</v>
      </c>
      <c r="I14" s="15" t="s">
        <v>95</v>
      </c>
      <c r="J14" s="15" t="s">
        <v>147</v>
      </c>
      <c r="K14" s="9"/>
      <c r="L14" s="9" t="s">
        <v>97</v>
      </c>
      <c r="M14" s="9" t="s">
        <v>98</v>
      </c>
      <c r="N14" s="16" t="s">
        <v>42</v>
      </c>
      <c r="O14" s="17"/>
      <c r="P14" s="17"/>
      <c r="Q14" s="17"/>
      <c r="R14" s="18"/>
      <c r="S14" s="16"/>
      <c r="T14" s="17"/>
    </row>
    <row r="15" spans="1:20" ht="22.8" x14ac:dyDescent="0.3">
      <c r="A15" s="11" t="s">
        <v>148</v>
      </c>
      <c r="B15" s="9" t="s">
        <v>45</v>
      </c>
      <c r="C15" s="15" t="s">
        <v>90</v>
      </c>
      <c r="D15" s="15" t="s">
        <v>91</v>
      </c>
      <c r="E15" s="15" t="s">
        <v>92</v>
      </c>
      <c r="F15" s="15" t="s">
        <v>149</v>
      </c>
      <c r="G15" s="15" t="s">
        <v>150</v>
      </c>
      <c r="H15" s="9" t="s">
        <v>52</v>
      </c>
      <c r="I15" s="15" t="s">
        <v>95</v>
      </c>
      <c r="J15" s="15" t="s">
        <v>151</v>
      </c>
      <c r="K15" s="9" t="s">
        <v>152</v>
      </c>
      <c r="L15" s="9" t="s">
        <v>153</v>
      </c>
      <c r="M15" s="9" t="s">
        <v>106</v>
      </c>
      <c r="N15" s="16" t="s">
        <v>42</v>
      </c>
      <c r="O15" s="17"/>
      <c r="P15" s="17"/>
      <c r="Q15" s="17"/>
      <c r="R15" s="18"/>
      <c r="S15" s="16"/>
      <c r="T15" s="17"/>
    </row>
    <row r="16" spans="1:20" ht="22.8" x14ac:dyDescent="0.3">
      <c r="A16" s="11" t="s">
        <v>154</v>
      </c>
      <c r="B16" s="9" t="s">
        <v>45</v>
      </c>
      <c r="C16" s="15" t="s">
        <v>90</v>
      </c>
      <c r="D16" s="15" t="s">
        <v>91</v>
      </c>
      <c r="E16" s="15" t="s">
        <v>92</v>
      </c>
      <c r="F16" s="15" t="s">
        <v>155</v>
      </c>
      <c r="G16" s="15" t="s">
        <v>156</v>
      </c>
      <c r="H16" s="9" t="s">
        <v>52</v>
      </c>
      <c r="I16" s="15" t="s">
        <v>95</v>
      </c>
      <c r="J16" s="15" t="s">
        <v>136</v>
      </c>
      <c r="K16" s="9"/>
      <c r="L16" s="9" t="s">
        <v>97</v>
      </c>
      <c r="M16" s="9" t="s">
        <v>98</v>
      </c>
      <c r="N16" s="16" t="s">
        <v>42</v>
      </c>
      <c r="O16" s="17"/>
      <c r="P16" s="17"/>
      <c r="Q16" s="17"/>
      <c r="R16" s="18"/>
      <c r="S16" s="16"/>
      <c r="T16" s="17"/>
    </row>
    <row r="17" spans="1:20" ht="22.8" x14ac:dyDescent="0.3">
      <c r="A17" s="11" t="s">
        <v>157</v>
      </c>
      <c r="B17" s="9" t="s">
        <v>45</v>
      </c>
      <c r="C17" s="15" t="s">
        <v>90</v>
      </c>
      <c r="D17" s="15" t="s">
        <v>91</v>
      </c>
      <c r="E17" s="15" t="s">
        <v>92</v>
      </c>
      <c r="F17" s="15" t="s">
        <v>158</v>
      </c>
      <c r="G17" s="15" t="s">
        <v>159</v>
      </c>
      <c r="H17" s="9" t="s">
        <v>52</v>
      </c>
      <c r="I17" s="15" t="s">
        <v>95</v>
      </c>
      <c r="J17" s="15" t="s">
        <v>160</v>
      </c>
      <c r="K17" s="9"/>
      <c r="L17" s="9" t="s">
        <v>97</v>
      </c>
      <c r="M17" s="9" t="s">
        <v>106</v>
      </c>
      <c r="N17" s="16" t="s">
        <v>42</v>
      </c>
      <c r="O17" s="17"/>
      <c r="P17" s="17"/>
      <c r="Q17" s="17"/>
      <c r="R17" s="18"/>
      <c r="S17" s="16"/>
      <c r="T17" s="17"/>
    </row>
    <row r="18" spans="1:20" ht="22.8" x14ac:dyDescent="0.3">
      <c r="A18" s="11" t="s">
        <v>161</v>
      </c>
      <c r="B18" s="9" t="s">
        <v>45</v>
      </c>
      <c r="C18" s="15" t="s">
        <v>90</v>
      </c>
      <c r="D18" s="15" t="s">
        <v>91</v>
      </c>
      <c r="E18" s="15" t="s">
        <v>92</v>
      </c>
      <c r="F18" s="15" t="s">
        <v>162</v>
      </c>
      <c r="G18" s="15" t="s">
        <v>163</v>
      </c>
      <c r="H18" s="9" t="s">
        <v>52</v>
      </c>
      <c r="I18" s="15" t="s">
        <v>95</v>
      </c>
      <c r="J18" s="15" t="s">
        <v>164</v>
      </c>
      <c r="K18" s="9"/>
      <c r="L18" s="9" t="s">
        <v>97</v>
      </c>
      <c r="M18" s="9" t="s">
        <v>98</v>
      </c>
      <c r="N18" s="16" t="s">
        <v>42</v>
      </c>
      <c r="O18" s="17"/>
      <c r="P18" s="17"/>
      <c r="Q18" s="17"/>
      <c r="R18" s="18"/>
      <c r="S18" s="16"/>
      <c r="T18" s="17"/>
    </row>
    <row r="19" spans="1:20" ht="34.200000000000003" x14ac:dyDescent="0.3">
      <c r="A19" s="11" t="s">
        <v>165</v>
      </c>
      <c r="B19" s="9" t="s">
        <v>45</v>
      </c>
      <c r="C19" s="15" t="s">
        <v>90</v>
      </c>
      <c r="D19" s="15" t="s">
        <v>91</v>
      </c>
      <c r="E19" s="15" t="s">
        <v>92</v>
      </c>
      <c r="F19" s="15" t="s">
        <v>166</v>
      </c>
      <c r="G19" s="15" t="s">
        <v>167</v>
      </c>
      <c r="H19" s="9" t="s">
        <v>52</v>
      </c>
      <c r="I19" s="15" t="s">
        <v>95</v>
      </c>
      <c r="J19" s="15" t="s">
        <v>168</v>
      </c>
      <c r="K19" s="9" t="s">
        <v>169</v>
      </c>
      <c r="L19" s="9" t="s">
        <v>153</v>
      </c>
      <c r="M19" s="9" t="s">
        <v>98</v>
      </c>
      <c r="N19" s="16" t="s">
        <v>42</v>
      </c>
      <c r="O19" s="17"/>
      <c r="P19" s="17"/>
      <c r="Q19" s="17"/>
      <c r="R19" s="18"/>
      <c r="S19" s="16"/>
      <c r="T19" s="17"/>
    </row>
    <row r="20" spans="1:20" ht="22.8" x14ac:dyDescent="0.3">
      <c r="A20" s="11" t="s">
        <v>170</v>
      </c>
      <c r="B20" s="9" t="s">
        <v>45</v>
      </c>
      <c r="C20" s="15" t="s">
        <v>90</v>
      </c>
      <c r="D20" s="15" t="s">
        <v>91</v>
      </c>
      <c r="E20" s="15" t="s">
        <v>92</v>
      </c>
      <c r="F20" s="15" t="s">
        <v>171</v>
      </c>
      <c r="G20" s="15" t="s">
        <v>172</v>
      </c>
      <c r="H20" s="9" t="s">
        <v>52</v>
      </c>
      <c r="I20" s="15" t="s">
        <v>95</v>
      </c>
      <c r="J20" s="15" t="s">
        <v>136</v>
      </c>
      <c r="K20" s="9"/>
      <c r="L20" s="9" t="s">
        <v>97</v>
      </c>
      <c r="M20" s="9" t="s">
        <v>106</v>
      </c>
      <c r="N20" s="16" t="s">
        <v>42</v>
      </c>
      <c r="O20" s="17"/>
      <c r="P20" s="17"/>
      <c r="Q20" s="17"/>
      <c r="R20" s="18"/>
      <c r="S20" s="16"/>
      <c r="T20" s="17"/>
    </row>
    <row r="21" spans="1:20" ht="45.6" x14ac:dyDescent="0.3">
      <c r="A21" s="11" t="s">
        <v>173</v>
      </c>
      <c r="B21" s="9" t="s">
        <v>45</v>
      </c>
      <c r="C21" s="15" t="s">
        <v>90</v>
      </c>
      <c r="D21" s="15" t="s">
        <v>91</v>
      </c>
      <c r="E21" s="15" t="s">
        <v>92</v>
      </c>
      <c r="F21" s="15" t="s">
        <v>174</v>
      </c>
      <c r="G21" s="15" t="s">
        <v>175</v>
      </c>
      <c r="H21" s="9" t="s">
        <v>52</v>
      </c>
      <c r="I21" s="15" t="s">
        <v>95</v>
      </c>
      <c r="J21" s="15" t="s">
        <v>176</v>
      </c>
      <c r="K21" s="9"/>
      <c r="L21" s="9" t="s">
        <v>97</v>
      </c>
      <c r="M21" s="9" t="s">
        <v>106</v>
      </c>
      <c r="N21" s="16" t="s">
        <v>38</v>
      </c>
      <c r="O21" s="17" t="s">
        <v>177</v>
      </c>
      <c r="P21" s="17"/>
      <c r="Q21" s="17" t="s">
        <v>100</v>
      </c>
      <c r="R21" s="18">
        <v>46302</v>
      </c>
      <c r="S21" s="16" t="s">
        <v>101</v>
      </c>
      <c r="T21" s="17"/>
    </row>
    <row r="22" spans="1:20" ht="34.200000000000003" x14ac:dyDescent="0.3">
      <c r="A22" s="11" t="s">
        <v>178</v>
      </c>
      <c r="B22" s="9" t="s">
        <v>46</v>
      </c>
      <c r="C22" s="15" t="s">
        <v>179</v>
      </c>
      <c r="D22" s="15" t="s">
        <v>180</v>
      </c>
      <c r="E22" s="15" t="s">
        <v>181</v>
      </c>
      <c r="F22" s="15" t="s">
        <v>182</v>
      </c>
      <c r="G22" s="15" t="s">
        <v>183</v>
      </c>
      <c r="H22" s="9" t="s">
        <v>52</v>
      </c>
      <c r="I22" s="15" t="s">
        <v>184</v>
      </c>
      <c r="J22" s="15" t="s">
        <v>185</v>
      </c>
      <c r="K22" s="9"/>
      <c r="L22" s="9" t="s">
        <v>97</v>
      </c>
      <c r="M22" s="9" t="s">
        <v>106</v>
      </c>
      <c r="N22" s="16" t="s">
        <v>42</v>
      </c>
      <c r="O22" s="17"/>
      <c r="P22" s="17"/>
      <c r="Q22" s="17"/>
      <c r="R22" s="18"/>
      <c r="S22" s="16"/>
      <c r="T22" s="17"/>
    </row>
    <row r="23" spans="1:20" ht="22.8" x14ac:dyDescent="0.3">
      <c r="A23" s="11" t="s">
        <v>186</v>
      </c>
      <c r="B23" s="9" t="s">
        <v>46</v>
      </c>
      <c r="C23" s="15" t="s">
        <v>179</v>
      </c>
      <c r="D23" s="15" t="s">
        <v>187</v>
      </c>
      <c r="E23" s="15" t="s">
        <v>95</v>
      </c>
      <c r="F23" s="15" t="s">
        <v>188</v>
      </c>
      <c r="G23" s="15" t="s">
        <v>189</v>
      </c>
      <c r="H23" s="9" t="s">
        <v>52</v>
      </c>
      <c r="I23" s="15" t="s">
        <v>190</v>
      </c>
      <c r="J23" s="15" t="s">
        <v>191</v>
      </c>
      <c r="K23" s="9"/>
      <c r="L23" s="9" t="s">
        <v>97</v>
      </c>
      <c r="M23" s="9" t="s">
        <v>106</v>
      </c>
      <c r="N23" s="16" t="s">
        <v>42</v>
      </c>
      <c r="O23" s="17"/>
      <c r="P23" s="17"/>
      <c r="Q23" s="17"/>
      <c r="R23" s="18"/>
      <c r="S23" s="16"/>
      <c r="T23" s="17"/>
    </row>
    <row r="24" spans="1:20" ht="22.8" x14ac:dyDescent="0.3">
      <c r="A24" s="11" t="s">
        <v>192</v>
      </c>
      <c r="B24" s="9" t="s">
        <v>46</v>
      </c>
      <c r="C24" s="15" t="s">
        <v>179</v>
      </c>
      <c r="D24" s="15" t="s">
        <v>180</v>
      </c>
      <c r="E24" s="15" t="s">
        <v>193</v>
      </c>
      <c r="F24" s="15" t="s">
        <v>194</v>
      </c>
      <c r="G24" s="15" t="s">
        <v>195</v>
      </c>
      <c r="H24" s="9" t="s">
        <v>53</v>
      </c>
      <c r="I24" s="15" t="s">
        <v>190</v>
      </c>
      <c r="J24" s="15" t="s">
        <v>191</v>
      </c>
      <c r="K24" s="9"/>
      <c r="L24" s="9" t="s">
        <v>97</v>
      </c>
      <c r="M24" s="9" t="s">
        <v>106</v>
      </c>
      <c r="N24" s="16" t="s">
        <v>42</v>
      </c>
      <c r="O24" s="17"/>
      <c r="P24" s="17"/>
      <c r="Q24" s="17"/>
      <c r="R24" s="18"/>
      <c r="S24" s="16"/>
      <c r="T24" s="17"/>
    </row>
    <row r="25" spans="1:20" ht="22.8" x14ac:dyDescent="0.3">
      <c r="A25" s="11" t="s">
        <v>196</v>
      </c>
      <c r="B25" s="9" t="s">
        <v>46</v>
      </c>
      <c r="C25" s="15" t="s">
        <v>179</v>
      </c>
      <c r="D25" s="15" t="s">
        <v>180</v>
      </c>
      <c r="E25" s="15" t="s">
        <v>95</v>
      </c>
      <c r="F25" s="15" t="s">
        <v>197</v>
      </c>
      <c r="G25" s="15" t="s">
        <v>198</v>
      </c>
      <c r="H25" s="9" t="s">
        <v>53</v>
      </c>
      <c r="I25" s="15" t="s">
        <v>95</v>
      </c>
      <c r="J25" s="15" t="s">
        <v>128</v>
      </c>
      <c r="K25" s="9"/>
      <c r="L25" s="9" t="s">
        <v>97</v>
      </c>
      <c r="M25" s="9" t="s">
        <v>106</v>
      </c>
      <c r="N25" s="16" t="s">
        <v>42</v>
      </c>
      <c r="O25" s="17"/>
      <c r="P25" s="17"/>
      <c r="Q25" s="17"/>
      <c r="R25" s="18"/>
      <c r="S25" s="16"/>
      <c r="T25" s="17"/>
    </row>
    <row r="26" spans="1:20" ht="22.8" x14ac:dyDescent="0.3">
      <c r="A26" s="11" t="s">
        <v>199</v>
      </c>
      <c r="B26" s="9" t="s">
        <v>46</v>
      </c>
      <c r="C26" s="15" t="s">
        <v>179</v>
      </c>
      <c r="D26" s="15" t="s">
        <v>200</v>
      </c>
      <c r="E26" s="15" t="s">
        <v>201</v>
      </c>
      <c r="F26" s="15" t="s">
        <v>202</v>
      </c>
      <c r="G26" s="15" t="s">
        <v>203</v>
      </c>
      <c r="H26" s="9" t="s">
        <v>52</v>
      </c>
      <c r="I26" s="15" t="s">
        <v>110</v>
      </c>
      <c r="J26" s="15" t="s">
        <v>110</v>
      </c>
      <c r="K26" s="9"/>
      <c r="L26" s="9" t="s">
        <v>97</v>
      </c>
      <c r="M26" s="9" t="s">
        <v>106</v>
      </c>
      <c r="N26" s="16" t="s">
        <v>42</v>
      </c>
      <c r="O26" s="17"/>
      <c r="P26" s="17"/>
      <c r="Q26" s="17"/>
      <c r="R26" s="18"/>
      <c r="S26" s="16"/>
      <c r="T26" s="17"/>
    </row>
    <row r="27" spans="1:20" ht="22.8" x14ac:dyDescent="0.3">
      <c r="A27" s="11" t="s">
        <v>204</v>
      </c>
      <c r="B27" s="9" t="s">
        <v>46</v>
      </c>
      <c r="C27" s="15" t="s">
        <v>179</v>
      </c>
      <c r="D27" s="15" t="s">
        <v>205</v>
      </c>
      <c r="E27" s="15" t="s">
        <v>95</v>
      </c>
      <c r="F27" s="15" t="s">
        <v>206</v>
      </c>
      <c r="G27" s="15" t="s">
        <v>207</v>
      </c>
      <c r="H27" s="9" t="s">
        <v>52</v>
      </c>
      <c r="I27" s="15" t="s">
        <v>208</v>
      </c>
      <c r="J27" s="15" t="s">
        <v>164</v>
      </c>
      <c r="K27" s="9"/>
      <c r="L27" s="9" t="s">
        <v>97</v>
      </c>
      <c r="M27" s="9" t="s">
        <v>106</v>
      </c>
      <c r="N27" s="16" t="s">
        <v>42</v>
      </c>
      <c r="O27" s="17"/>
      <c r="P27" s="17"/>
      <c r="Q27" s="17"/>
      <c r="R27" s="18"/>
      <c r="S27" s="16"/>
      <c r="T27" s="17"/>
    </row>
    <row r="28" spans="1:20" ht="34.200000000000003" x14ac:dyDescent="0.3">
      <c r="A28" s="11" t="s">
        <v>209</v>
      </c>
      <c r="B28" s="9" t="s">
        <v>46</v>
      </c>
      <c r="C28" s="15" t="s">
        <v>179</v>
      </c>
      <c r="D28" s="15" t="s">
        <v>187</v>
      </c>
      <c r="E28" s="15" t="s">
        <v>210</v>
      </c>
      <c r="F28" s="15" t="s">
        <v>211</v>
      </c>
      <c r="G28" s="15" t="s">
        <v>212</v>
      </c>
      <c r="H28" s="9" t="s">
        <v>53</v>
      </c>
      <c r="I28" s="15" t="s">
        <v>95</v>
      </c>
      <c r="J28" s="15" t="s">
        <v>128</v>
      </c>
      <c r="K28" s="9"/>
      <c r="L28" s="9" t="s">
        <v>97</v>
      </c>
      <c r="M28" s="9" t="s">
        <v>106</v>
      </c>
      <c r="N28" s="16" t="s">
        <v>42</v>
      </c>
      <c r="O28" s="17"/>
      <c r="P28" s="17"/>
      <c r="Q28" s="17"/>
      <c r="R28" s="18"/>
      <c r="S28" s="16"/>
      <c r="T28" s="17"/>
    </row>
    <row r="29" spans="1:20" ht="22.8" x14ac:dyDescent="0.3">
      <c r="A29" s="11" t="s">
        <v>213</v>
      </c>
      <c r="B29" s="9" t="s">
        <v>46</v>
      </c>
      <c r="C29" s="15" t="s">
        <v>179</v>
      </c>
      <c r="D29" s="15" t="s">
        <v>214</v>
      </c>
      <c r="E29" s="15" t="s">
        <v>210</v>
      </c>
      <c r="F29" s="15" t="s">
        <v>215</v>
      </c>
      <c r="G29" s="15" t="s">
        <v>216</v>
      </c>
      <c r="H29" s="9" t="s">
        <v>53</v>
      </c>
      <c r="I29" s="15" t="s">
        <v>95</v>
      </c>
      <c r="J29" s="15" t="s">
        <v>128</v>
      </c>
      <c r="K29" s="9"/>
      <c r="L29" s="9" t="s">
        <v>97</v>
      </c>
      <c r="M29" s="9" t="s">
        <v>106</v>
      </c>
      <c r="N29" s="16" t="s">
        <v>42</v>
      </c>
      <c r="O29" s="17"/>
      <c r="P29" s="17"/>
      <c r="Q29" s="17"/>
      <c r="R29" s="18"/>
      <c r="S29" s="16"/>
      <c r="T29" s="17"/>
    </row>
    <row r="30" spans="1:20" ht="34.200000000000003" x14ac:dyDescent="0.3">
      <c r="A30" s="11" t="s">
        <v>217</v>
      </c>
      <c r="B30" s="9" t="s">
        <v>46</v>
      </c>
      <c r="C30" s="15" t="s">
        <v>179</v>
      </c>
      <c r="D30" s="15" t="s">
        <v>180</v>
      </c>
      <c r="E30" s="15" t="s">
        <v>95</v>
      </c>
      <c r="F30" s="15" t="s">
        <v>218</v>
      </c>
      <c r="G30" s="15" t="s">
        <v>219</v>
      </c>
      <c r="H30" s="9" t="s">
        <v>52</v>
      </c>
      <c r="I30" s="15" t="s">
        <v>110</v>
      </c>
      <c r="J30" s="15" t="s">
        <v>110</v>
      </c>
      <c r="K30" s="9"/>
      <c r="L30" s="9" t="s">
        <v>97</v>
      </c>
      <c r="M30" s="9" t="s">
        <v>106</v>
      </c>
      <c r="N30" s="16" t="s">
        <v>42</v>
      </c>
      <c r="O30" s="17"/>
      <c r="P30" s="17"/>
      <c r="Q30" s="17"/>
      <c r="R30" s="18"/>
      <c r="S30" s="16"/>
      <c r="T30" s="17"/>
    </row>
    <row r="31" spans="1:20" ht="45.6" x14ac:dyDescent="0.3">
      <c r="A31" s="11" t="s">
        <v>220</v>
      </c>
      <c r="B31" s="9" t="s">
        <v>46</v>
      </c>
      <c r="C31" s="15" t="s">
        <v>179</v>
      </c>
      <c r="D31" s="15" t="s">
        <v>221</v>
      </c>
      <c r="E31" s="15" t="s">
        <v>222</v>
      </c>
      <c r="F31" s="15" t="s">
        <v>223</v>
      </c>
      <c r="G31" s="15" t="s">
        <v>224</v>
      </c>
      <c r="H31" s="9" t="s">
        <v>53</v>
      </c>
      <c r="I31" s="15" t="s">
        <v>110</v>
      </c>
      <c r="J31" s="15" t="s">
        <v>110</v>
      </c>
      <c r="K31" s="9"/>
      <c r="L31" s="9" t="s">
        <v>97</v>
      </c>
      <c r="M31" s="9" t="s">
        <v>106</v>
      </c>
      <c r="N31" s="16" t="s">
        <v>42</v>
      </c>
      <c r="O31" s="17"/>
      <c r="P31" s="17"/>
      <c r="Q31" s="17"/>
      <c r="R31" s="18"/>
      <c r="S31" s="16"/>
      <c r="T31" s="17"/>
    </row>
    <row r="32" spans="1:20" ht="57" x14ac:dyDescent="0.3">
      <c r="A32" s="11" t="s">
        <v>225</v>
      </c>
      <c r="B32" s="9" t="s">
        <v>46</v>
      </c>
      <c r="C32" s="15" t="s">
        <v>179</v>
      </c>
      <c r="D32" s="15" t="s">
        <v>180</v>
      </c>
      <c r="E32" s="15" t="s">
        <v>181</v>
      </c>
      <c r="F32" s="15" t="s">
        <v>226</v>
      </c>
      <c r="G32" s="15" t="s">
        <v>227</v>
      </c>
      <c r="H32" s="9" t="s">
        <v>52</v>
      </c>
      <c r="I32" s="15" t="s">
        <v>228</v>
      </c>
      <c r="J32" s="15" t="s">
        <v>191</v>
      </c>
      <c r="K32" s="9"/>
      <c r="L32" s="9" t="s">
        <v>97</v>
      </c>
      <c r="M32" s="9" t="s">
        <v>106</v>
      </c>
      <c r="N32" s="16" t="s">
        <v>42</v>
      </c>
      <c r="O32" s="17"/>
      <c r="P32" s="17"/>
      <c r="Q32" s="17"/>
      <c r="R32" s="18"/>
      <c r="S32" s="16"/>
      <c r="T32" s="17"/>
    </row>
    <row r="33" spans="1:20" ht="22.8" x14ac:dyDescent="0.3">
      <c r="A33" s="11" t="s">
        <v>229</v>
      </c>
      <c r="B33" s="9" t="s">
        <v>46</v>
      </c>
      <c r="C33" s="15" t="s">
        <v>230</v>
      </c>
      <c r="D33" s="15" t="s">
        <v>180</v>
      </c>
      <c r="E33" s="15" t="s">
        <v>201</v>
      </c>
      <c r="F33" s="15" t="s">
        <v>231</v>
      </c>
      <c r="G33" s="15" t="s">
        <v>232</v>
      </c>
      <c r="H33" s="9" t="s">
        <v>52</v>
      </c>
      <c r="I33" s="15" t="s">
        <v>233</v>
      </c>
      <c r="J33" s="15" t="s">
        <v>105</v>
      </c>
      <c r="K33" s="9"/>
      <c r="L33" s="9" t="s">
        <v>97</v>
      </c>
      <c r="M33" s="9" t="s">
        <v>106</v>
      </c>
      <c r="N33" s="16" t="s">
        <v>42</v>
      </c>
      <c r="O33" s="17"/>
      <c r="P33" s="17"/>
      <c r="Q33" s="17"/>
      <c r="R33" s="18"/>
      <c r="S33" s="16"/>
      <c r="T33" s="17"/>
    </row>
    <row r="34" spans="1:20" ht="22.8" x14ac:dyDescent="0.3">
      <c r="A34" s="11" t="s">
        <v>234</v>
      </c>
      <c r="B34" s="9" t="s">
        <v>46</v>
      </c>
      <c r="C34" s="15" t="s">
        <v>230</v>
      </c>
      <c r="D34" s="15" t="s">
        <v>187</v>
      </c>
      <c r="E34" s="15" t="s">
        <v>95</v>
      </c>
      <c r="F34" s="15" t="s">
        <v>235</v>
      </c>
      <c r="G34" s="15" t="s">
        <v>236</v>
      </c>
      <c r="H34" s="9" t="s">
        <v>53</v>
      </c>
      <c r="I34" s="15" t="s">
        <v>95</v>
      </c>
      <c r="J34" s="15" t="s">
        <v>128</v>
      </c>
      <c r="K34" s="9"/>
      <c r="L34" s="9" t="s">
        <v>97</v>
      </c>
      <c r="M34" s="9" t="s">
        <v>106</v>
      </c>
      <c r="N34" s="16" t="s">
        <v>42</v>
      </c>
      <c r="O34" s="17"/>
      <c r="P34" s="17"/>
      <c r="Q34" s="17"/>
      <c r="R34" s="18"/>
      <c r="S34" s="16"/>
      <c r="T34" s="17"/>
    </row>
    <row r="35" spans="1:20" ht="22.8" x14ac:dyDescent="0.3">
      <c r="A35" s="11" t="s">
        <v>237</v>
      </c>
      <c r="B35" s="9" t="s">
        <v>46</v>
      </c>
      <c r="C35" s="15" t="s">
        <v>230</v>
      </c>
      <c r="D35" s="15" t="s">
        <v>187</v>
      </c>
      <c r="E35" s="15" t="s">
        <v>95</v>
      </c>
      <c r="F35" s="15" t="s">
        <v>238</v>
      </c>
      <c r="G35" s="15" t="s">
        <v>239</v>
      </c>
      <c r="H35" s="9" t="s">
        <v>52</v>
      </c>
      <c r="I35" s="15" t="s">
        <v>240</v>
      </c>
      <c r="J35" s="15" t="s">
        <v>241</v>
      </c>
      <c r="K35" s="9"/>
      <c r="L35" s="9" t="s">
        <v>97</v>
      </c>
      <c r="M35" s="9" t="s">
        <v>106</v>
      </c>
      <c r="N35" s="16" t="s">
        <v>42</v>
      </c>
      <c r="O35" s="17"/>
      <c r="P35" s="17"/>
      <c r="Q35" s="17"/>
      <c r="R35" s="18"/>
      <c r="S35" s="16"/>
      <c r="T35" s="17"/>
    </row>
    <row r="36" spans="1:20" ht="22.8" x14ac:dyDescent="0.3">
      <c r="A36" s="11" t="s">
        <v>242</v>
      </c>
      <c r="B36" s="9" t="s">
        <v>46</v>
      </c>
      <c r="C36" s="15" t="s">
        <v>230</v>
      </c>
      <c r="D36" s="15" t="s">
        <v>187</v>
      </c>
      <c r="E36" s="15" t="s">
        <v>95</v>
      </c>
      <c r="F36" s="15" t="s">
        <v>243</v>
      </c>
      <c r="G36" s="15" t="s">
        <v>244</v>
      </c>
      <c r="H36" s="9" t="s">
        <v>52</v>
      </c>
      <c r="I36" s="15" t="s">
        <v>245</v>
      </c>
      <c r="J36" s="15" t="s">
        <v>128</v>
      </c>
      <c r="K36" s="9"/>
      <c r="L36" s="9" t="s">
        <v>97</v>
      </c>
      <c r="M36" s="9" t="s">
        <v>106</v>
      </c>
      <c r="N36" s="16" t="s">
        <v>42</v>
      </c>
      <c r="O36" s="17"/>
      <c r="P36" s="17"/>
      <c r="Q36" s="17"/>
      <c r="R36" s="18"/>
      <c r="S36" s="16"/>
      <c r="T36" s="17"/>
    </row>
    <row r="37" spans="1:20" ht="34.200000000000003" x14ac:dyDescent="0.3">
      <c r="A37" s="11" t="s">
        <v>246</v>
      </c>
      <c r="B37" s="9" t="s">
        <v>46</v>
      </c>
      <c r="C37" s="15" t="s">
        <v>230</v>
      </c>
      <c r="D37" s="15" t="s">
        <v>187</v>
      </c>
      <c r="E37" s="15" t="s">
        <v>95</v>
      </c>
      <c r="F37" s="15" t="s">
        <v>247</v>
      </c>
      <c r="G37" s="15" t="s">
        <v>248</v>
      </c>
      <c r="H37" s="9" t="s">
        <v>52</v>
      </c>
      <c r="I37" s="15" t="s">
        <v>249</v>
      </c>
      <c r="J37" s="15" t="s">
        <v>128</v>
      </c>
      <c r="K37" s="9"/>
      <c r="L37" s="9" t="s">
        <v>97</v>
      </c>
      <c r="M37" s="9" t="s">
        <v>106</v>
      </c>
      <c r="N37" s="16" t="s">
        <v>42</v>
      </c>
      <c r="O37" s="17"/>
      <c r="P37" s="17"/>
      <c r="Q37" s="17"/>
      <c r="R37" s="18"/>
      <c r="S37" s="16"/>
      <c r="T37" s="17"/>
    </row>
    <row r="38" spans="1:20" ht="22.8" x14ac:dyDescent="0.3">
      <c r="A38" s="11" t="s">
        <v>250</v>
      </c>
      <c r="B38" s="9" t="s">
        <v>46</v>
      </c>
      <c r="C38" s="15" t="s">
        <v>230</v>
      </c>
      <c r="D38" s="15" t="s">
        <v>187</v>
      </c>
      <c r="E38" s="15" t="s">
        <v>95</v>
      </c>
      <c r="F38" s="15" t="s">
        <v>251</v>
      </c>
      <c r="G38" s="15" t="s">
        <v>252</v>
      </c>
      <c r="H38" s="9" t="s">
        <v>52</v>
      </c>
      <c r="I38" s="15" t="s">
        <v>95</v>
      </c>
      <c r="J38" s="15" t="s">
        <v>128</v>
      </c>
      <c r="K38" s="9"/>
      <c r="L38" s="9" t="s">
        <v>97</v>
      </c>
      <c r="M38" s="9" t="s">
        <v>106</v>
      </c>
      <c r="N38" s="16" t="s">
        <v>42</v>
      </c>
      <c r="O38" s="17"/>
      <c r="P38" s="17"/>
      <c r="Q38" s="17"/>
      <c r="R38" s="18"/>
      <c r="S38" s="16"/>
      <c r="T38" s="17"/>
    </row>
    <row r="39" spans="1:20" ht="22.8" x14ac:dyDescent="0.3">
      <c r="A39" s="11" t="s">
        <v>253</v>
      </c>
      <c r="B39" s="9" t="s">
        <v>46</v>
      </c>
      <c r="C39" s="15" t="s">
        <v>230</v>
      </c>
      <c r="D39" s="15" t="s">
        <v>187</v>
      </c>
      <c r="E39" s="15" t="s">
        <v>95</v>
      </c>
      <c r="F39" s="15" t="s">
        <v>254</v>
      </c>
      <c r="G39" s="15" t="s">
        <v>255</v>
      </c>
      <c r="H39" s="9" t="s">
        <v>52</v>
      </c>
      <c r="I39" s="15" t="s">
        <v>256</v>
      </c>
      <c r="J39" s="15" t="s">
        <v>128</v>
      </c>
      <c r="K39" s="9"/>
      <c r="L39" s="9" t="s">
        <v>97</v>
      </c>
      <c r="M39" s="9" t="s">
        <v>98</v>
      </c>
      <c r="N39" s="16" t="s">
        <v>42</v>
      </c>
      <c r="O39" s="17"/>
      <c r="P39" s="17"/>
      <c r="Q39" s="17"/>
      <c r="R39" s="18"/>
      <c r="S39" s="16"/>
      <c r="T39" s="17"/>
    </row>
    <row r="40" spans="1:20" ht="45.6" x14ac:dyDescent="0.3">
      <c r="A40" s="11" t="s">
        <v>257</v>
      </c>
      <c r="B40" s="9" t="s">
        <v>46</v>
      </c>
      <c r="C40" s="15" t="s">
        <v>230</v>
      </c>
      <c r="D40" s="15" t="s">
        <v>187</v>
      </c>
      <c r="E40" s="15" t="s">
        <v>95</v>
      </c>
      <c r="F40" s="15" t="s">
        <v>258</v>
      </c>
      <c r="G40" s="15" t="s">
        <v>259</v>
      </c>
      <c r="H40" s="9" t="s">
        <v>52</v>
      </c>
      <c r="I40" s="15" t="s">
        <v>260</v>
      </c>
      <c r="J40" s="15" t="s">
        <v>128</v>
      </c>
      <c r="K40" s="9"/>
      <c r="L40" s="9" t="s">
        <v>97</v>
      </c>
      <c r="M40" s="9" t="s">
        <v>106</v>
      </c>
      <c r="N40" s="16" t="s">
        <v>42</v>
      </c>
      <c r="O40" s="17"/>
      <c r="P40" s="17"/>
      <c r="Q40" s="17"/>
      <c r="R40" s="18"/>
      <c r="S40" s="16"/>
      <c r="T40" s="17"/>
    </row>
    <row r="41" spans="1:20" ht="34.200000000000003" x14ac:dyDescent="0.3">
      <c r="A41" s="11" t="s">
        <v>261</v>
      </c>
      <c r="B41" s="9" t="s">
        <v>46</v>
      </c>
      <c r="C41" s="15" t="s">
        <v>230</v>
      </c>
      <c r="D41" s="15" t="s">
        <v>262</v>
      </c>
      <c r="E41" s="15" t="s">
        <v>263</v>
      </c>
      <c r="F41" s="15" t="s">
        <v>264</v>
      </c>
      <c r="G41" s="15" t="s">
        <v>265</v>
      </c>
      <c r="H41" s="9" t="s">
        <v>52</v>
      </c>
      <c r="I41" s="15" t="s">
        <v>266</v>
      </c>
      <c r="J41" s="15" t="s">
        <v>267</v>
      </c>
      <c r="K41" s="9"/>
      <c r="L41" s="9" t="s">
        <v>97</v>
      </c>
      <c r="M41" s="9" t="s">
        <v>106</v>
      </c>
      <c r="N41" s="16" t="s">
        <v>42</v>
      </c>
      <c r="O41" s="17"/>
      <c r="P41" s="17"/>
      <c r="Q41" s="17"/>
      <c r="R41" s="18"/>
      <c r="S41" s="16"/>
      <c r="T41" s="17"/>
    </row>
    <row r="42" spans="1:20" ht="34.200000000000003" x14ac:dyDescent="0.3">
      <c r="A42" s="11" t="s">
        <v>268</v>
      </c>
      <c r="B42" s="9" t="s">
        <v>46</v>
      </c>
      <c r="C42" s="15" t="s">
        <v>230</v>
      </c>
      <c r="D42" s="15" t="s">
        <v>187</v>
      </c>
      <c r="E42" s="15" t="s">
        <v>269</v>
      </c>
      <c r="F42" s="15" t="s">
        <v>270</v>
      </c>
      <c r="G42" s="15" t="s">
        <v>271</v>
      </c>
      <c r="H42" s="9" t="s">
        <v>53</v>
      </c>
      <c r="I42" s="15" t="s">
        <v>272</v>
      </c>
      <c r="J42" s="15" t="s">
        <v>128</v>
      </c>
      <c r="K42" s="9"/>
      <c r="L42" s="9" t="s">
        <v>97</v>
      </c>
      <c r="M42" s="9" t="s">
        <v>106</v>
      </c>
      <c r="N42" s="16" t="s">
        <v>42</v>
      </c>
      <c r="O42" s="17"/>
      <c r="P42" s="17"/>
      <c r="Q42" s="17"/>
      <c r="R42" s="18"/>
      <c r="S42" s="16"/>
      <c r="T42" s="17"/>
    </row>
    <row r="43" spans="1:20" ht="34.200000000000003" x14ac:dyDescent="0.3">
      <c r="A43" s="11" t="s">
        <v>273</v>
      </c>
      <c r="B43" s="9" t="s">
        <v>46</v>
      </c>
      <c r="C43" s="15" t="s">
        <v>230</v>
      </c>
      <c r="D43" s="15" t="s">
        <v>187</v>
      </c>
      <c r="E43" s="15" t="s">
        <v>95</v>
      </c>
      <c r="F43" s="15" t="s">
        <v>274</v>
      </c>
      <c r="G43" s="15" t="s">
        <v>275</v>
      </c>
      <c r="H43" s="9" t="s">
        <v>52</v>
      </c>
      <c r="I43" s="15" t="s">
        <v>276</v>
      </c>
      <c r="J43" s="15" t="s">
        <v>277</v>
      </c>
      <c r="K43" s="9"/>
      <c r="L43" s="9" t="s">
        <v>97</v>
      </c>
      <c r="M43" s="9" t="s">
        <v>106</v>
      </c>
      <c r="N43" s="16" t="s">
        <v>42</v>
      </c>
      <c r="O43" s="17"/>
      <c r="P43" s="17"/>
      <c r="Q43" s="17"/>
      <c r="R43" s="18"/>
      <c r="S43" s="16"/>
      <c r="T43" s="17"/>
    </row>
    <row r="44" spans="1:20" ht="22.8" x14ac:dyDescent="0.3">
      <c r="A44" s="11" t="s">
        <v>278</v>
      </c>
      <c r="B44" s="9" t="s">
        <v>46</v>
      </c>
      <c r="C44" s="15" t="s">
        <v>230</v>
      </c>
      <c r="D44" s="15" t="s">
        <v>187</v>
      </c>
      <c r="E44" s="15" t="s">
        <v>279</v>
      </c>
      <c r="F44" s="15" t="s">
        <v>280</v>
      </c>
      <c r="G44" s="15" t="s">
        <v>281</v>
      </c>
      <c r="H44" s="9" t="s">
        <v>52</v>
      </c>
      <c r="I44" s="15" t="s">
        <v>95</v>
      </c>
      <c r="J44" s="15" t="s">
        <v>128</v>
      </c>
      <c r="K44" s="9"/>
      <c r="L44" s="9" t="s">
        <v>97</v>
      </c>
      <c r="M44" s="9" t="s">
        <v>106</v>
      </c>
      <c r="N44" s="16" t="s">
        <v>42</v>
      </c>
      <c r="O44" s="17"/>
      <c r="P44" s="17"/>
      <c r="Q44" s="17"/>
      <c r="R44" s="18"/>
      <c r="S44" s="16"/>
      <c r="T44" s="17"/>
    </row>
    <row r="45" spans="1:20" ht="22.8" x14ac:dyDescent="0.3">
      <c r="A45" s="11" t="s">
        <v>282</v>
      </c>
      <c r="B45" s="9" t="s">
        <v>46</v>
      </c>
      <c r="C45" s="15" t="s">
        <v>283</v>
      </c>
      <c r="D45" s="15" t="s">
        <v>187</v>
      </c>
      <c r="E45" s="15" t="s">
        <v>95</v>
      </c>
      <c r="F45" s="15" t="s">
        <v>284</v>
      </c>
      <c r="G45" s="15" t="s">
        <v>285</v>
      </c>
      <c r="H45" s="9" t="s">
        <v>52</v>
      </c>
      <c r="I45" s="15" t="s">
        <v>286</v>
      </c>
      <c r="J45" s="15" t="s">
        <v>287</v>
      </c>
      <c r="K45" s="9"/>
      <c r="L45" s="9" t="s">
        <v>97</v>
      </c>
      <c r="M45" s="9" t="s">
        <v>106</v>
      </c>
      <c r="N45" s="16" t="s">
        <v>42</v>
      </c>
      <c r="O45" s="17"/>
      <c r="P45" s="17"/>
      <c r="Q45" s="17"/>
      <c r="R45" s="18"/>
      <c r="S45" s="16"/>
      <c r="T45" s="17"/>
    </row>
    <row r="46" spans="1:20" ht="22.8" x14ac:dyDescent="0.3">
      <c r="A46" s="11" t="s">
        <v>288</v>
      </c>
      <c r="B46" s="9" t="s">
        <v>46</v>
      </c>
      <c r="C46" s="15" t="s">
        <v>283</v>
      </c>
      <c r="D46" s="15" t="s">
        <v>187</v>
      </c>
      <c r="E46" s="15" t="s">
        <v>95</v>
      </c>
      <c r="F46" s="15" t="s">
        <v>289</v>
      </c>
      <c r="G46" s="15" t="s">
        <v>290</v>
      </c>
      <c r="H46" s="9" t="s">
        <v>52</v>
      </c>
      <c r="I46" s="15" t="s">
        <v>291</v>
      </c>
      <c r="J46" s="15" t="s">
        <v>292</v>
      </c>
      <c r="K46" s="9" t="s">
        <v>293</v>
      </c>
      <c r="L46" s="9" t="s">
        <v>153</v>
      </c>
      <c r="M46" s="9" t="s">
        <v>98</v>
      </c>
      <c r="N46" s="16" t="s">
        <v>42</v>
      </c>
      <c r="O46" s="17"/>
      <c r="P46" s="17"/>
      <c r="Q46" s="17"/>
      <c r="R46" s="18"/>
      <c r="S46" s="16"/>
      <c r="T46" s="17"/>
    </row>
    <row r="47" spans="1:20" ht="22.8" x14ac:dyDescent="0.3">
      <c r="A47" s="11" t="s">
        <v>294</v>
      </c>
      <c r="B47" s="9" t="s">
        <v>46</v>
      </c>
      <c r="C47" s="15" t="s">
        <v>283</v>
      </c>
      <c r="D47" s="15" t="s">
        <v>187</v>
      </c>
      <c r="E47" s="15" t="s">
        <v>95</v>
      </c>
      <c r="F47" s="15" t="s">
        <v>295</v>
      </c>
      <c r="G47" s="15" t="s">
        <v>296</v>
      </c>
      <c r="H47" s="9" t="s">
        <v>52</v>
      </c>
      <c r="I47" s="15" t="s">
        <v>291</v>
      </c>
      <c r="J47" s="15" t="s">
        <v>292</v>
      </c>
      <c r="K47" s="9" t="s">
        <v>293</v>
      </c>
      <c r="L47" s="9" t="s">
        <v>153</v>
      </c>
      <c r="M47" s="9" t="s">
        <v>98</v>
      </c>
      <c r="N47" s="16" t="s">
        <v>42</v>
      </c>
      <c r="O47" s="17"/>
      <c r="P47" s="17"/>
      <c r="Q47" s="17"/>
      <c r="R47" s="18"/>
      <c r="S47" s="16"/>
      <c r="T47" s="17"/>
    </row>
    <row r="48" spans="1:20" ht="22.8" x14ac:dyDescent="0.3">
      <c r="A48" s="11" t="s">
        <v>297</v>
      </c>
      <c r="B48" s="9" t="s">
        <v>46</v>
      </c>
      <c r="C48" s="15" t="s">
        <v>283</v>
      </c>
      <c r="D48" s="15" t="s">
        <v>187</v>
      </c>
      <c r="E48" s="15" t="s">
        <v>95</v>
      </c>
      <c r="F48" s="15" t="s">
        <v>298</v>
      </c>
      <c r="G48" s="15" t="s">
        <v>299</v>
      </c>
      <c r="H48" s="9" t="s">
        <v>52</v>
      </c>
      <c r="I48" s="15" t="s">
        <v>291</v>
      </c>
      <c r="J48" s="15" t="s">
        <v>292</v>
      </c>
      <c r="K48" s="9"/>
      <c r="L48" s="9" t="s">
        <v>97</v>
      </c>
      <c r="M48" s="9" t="s">
        <v>106</v>
      </c>
      <c r="N48" s="16" t="s">
        <v>42</v>
      </c>
      <c r="O48" s="17"/>
      <c r="P48" s="17"/>
      <c r="Q48" s="17"/>
      <c r="R48" s="18"/>
      <c r="S48" s="16"/>
      <c r="T48" s="17"/>
    </row>
    <row r="49" spans="1:20" ht="34.200000000000003" x14ac:dyDescent="0.3">
      <c r="A49" s="11" t="s">
        <v>300</v>
      </c>
      <c r="B49" s="9" t="s">
        <v>46</v>
      </c>
      <c r="C49" s="15" t="s">
        <v>283</v>
      </c>
      <c r="D49" s="15" t="s">
        <v>187</v>
      </c>
      <c r="E49" s="15" t="s">
        <v>95</v>
      </c>
      <c r="F49" s="15" t="s">
        <v>301</v>
      </c>
      <c r="G49" s="15" t="s">
        <v>302</v>
      </c>
      <c r="H49" s="9" t="s">
        <v>53</v>
      </c>
      <c r="I49" s="15" t="s">
        <v>303</v>
      </c>
      <c r="J49" s="15" t="s">
        <v>287</v>
      </c>
      <c r="K49" s="9"/>
      <c r="L49" s="9" t="s">
        <v>97</v>
      </c>
      <c r="M49" s="9" t="s">
        <v>106</v>
      </c>
      <c r="N49" s="16" t="s">
        <v>42</v>
      </c>
      <c r="O49" s="17"/>
      <c r="P49" s="17"/>
      <c r="Q49" s="17"/>
      <c r="R49" s="18"/>
      <c r="S49" s="16"/>
      <c r="T49" s="17"/>
    </row>
    <row r="50" spans="1:20" ht="22.8" x14ac:dyDescent="0.3">
      <c r="A50" s="11" t="s">
        <v>304</v>
      </c>
      <c r="B50" s="9" t="s">
        <v>46</v>
      </c>
      <c r="C50" s="15" t="s">
        <v>283</v>
      </c>
      <c r="D50" s="15" t="s">
        <v>187</v>
      </c>
      <c r="E50" s="15" t="s">
        <v>95</v>
      </c>
      <c r="F50" s="15" t="s">
        <v>305</v>
      </c>
      <c r="G50" s="15" t="s">
        <v>306</v>
      </c>
      <c r="H50" s="9" t="s">
        <v>53</v>
      </c>
      <c r="I50" s="15" t="s">
        <v>95</v>
      </c>
      <c r="J50" s="15" t="s">
        <v>128</v>
      </c>
      <c r="K50" s="9" t="s">
        <v>307</v>
      </c>
      <c r="L50" s="9" t="s">
        <v>153</v>
      </c>
      <c r="M50" s="9" t="s">
        <v>106</v>
      </c>
      <c r="N50" s="16" t="s">
        <v>42</v>
      </c>
      <c r="O50" s="17"/>
      <c r="P50" s="17"/>
      <c r="Q50" s="17"/>
      <c r="R50" s="18"/>
      <c r="S50" s="16"/>
      <c r="T50" s="17"/>
    </row>
    <row r="51" spans="1:20" ht="22.8" x14ac:dyDescent="0.3">
      <c r="A51" s="11" t="s">
        <v>308</v>
      </c>
      <c r="B51" s="9" t="s">
        <v>46</v>
      </c>
      <c r="C51" s="15" t="s">
        <v>283</v>
      </c>
      <c r="D51" s="15" t="s">
        <v>187</v>
      </c>
      <c r="E51" s="15" t="s">
        <v>95</v>
      </c>
      <c r="F51" s="15" t="s">
        <v>309</v>
      </c>
      <c r="G51" s="15" t="s">
        <v>310</v>
      </c>
      <c r="H51" s="9" t="s">
        <v>52</v>
      </c>
      <c r="I51" s="15" t="s">
        <v>240</v>
      </c>
      <c r="J51" s="15" t="s">
        <v>241</v>
      </c>
      <c r="K51" s="9"/>
      <c r="L51" s="9" t="s">
        <v>97</v>
      </c>
      <c r="M51" s="9" t="s">
        <v>106</v>
      </c>
      <c r="N51" s="16" t="s">
        <v>42</v>
      </c>
      <c r="O51" s="17"/>
      <c r="P51" s="17"/>
      <c r="Q51" s="17"/>
      <c r="R51" s="18"/>
      <c r="S51" s="16"/>
      <c r="T51" s="17"/>
    </row>
    <row r="52" spans="1:20" ht="22.8" x14ac:dyDescent="0.3">
      <c r="A52" s="11" t="s">
        <v>311</v>
      </c>
      <c r="B52" s="9" t="s">
        <v>46</v>
      </c>
      <c r="C52" s="15" t="s">
        <v>283</v>
      </c>
      <c r="D52" s="15" t="s">
        <v>262</v>
      </c>
      <c r="E52" s="15" t="s">
        <v>312</v>
      </c>
      <c r="F52" s="15" t="s">
        <v>313</v>
      </c>
      <c r="G52" s="15" t="s">
        <v>314</v>
      </c>
      <c r="H52" s="9" t="s">
        <v>52</v>
      </c>
      <c r="I52" s="15" t="s">
        <v>315</v>
      </c>
      <c r="J52" s="15" t="s">
        <v>316</v>
      </c>
      <c r="K52" s="9"/>
      <c r="L52" s="9" t="s">
        <v>97</v>
      </c>
      <c r="M52" s="9" t="s">
        <v>106</v>
      </c>
      <c r="N52" s="16" t="s">
        <v>42</v>
      </c>
      <c r="O52" s="17"/>
      <c r="P52" s="17"/>
      <c r="Q52" s="17"/>
      <c r="R52" s="18"/>
      <c r="S52" s="16"/>
      <c r="T52" s="17"/>
    </row>
    <row r="53" spans="1:20" ht="34.200000000000003" x14ac:dyDescent="0.3">
      <c r="A53" s="11" t="s">
        <v>317</v>
      </c>
      <c r="B53" s="9" t="s">
        <v>46</v>
      </c>
      <c r="C53" s="15" t="s">
        <v>283</v>
      </c>
      <c r="D53" s="15" t="s">
        <v>187</v>
      </c>
      <c r="E53" s="15" t="s">
        <v>318</v>
      </c>
      <c r="F53" s="15" t="s">
        <v>319</v>
      </c>
      <c r="G53" s="15" t="s">
        <v>320</v>
      </c>
      <c r="H53" s="9" t="s">
        <v>53</v>
      </c>
      <c r="I53" s="15" t="s">
        <v>321</v>
      </c>
      <c r="J53" s="15" t="s">
        <v>321</v>
      </c>
      <c r="K53" s="9"/>
      <c r="L53" s="9" t="s">
        <v>97</v>
      </c>
      <c r="M53" s="9" t="s">
        <v>106</v>
      </c>
      <c r="N53" s="16" t="s">
        <v>42</v>
      </c>
      <c r="O53" s="17"/>
      <c r="P53" s="17"/>
      <c r="Q53" s="17"/>
      <c r="R53" s="18"/>
      <c r="S53" s="16"/>
      <c r="T53" s="17"/>
    </row>
    <row r="54" spans="1:20" ht="22.8" x14ac:dyDescent="0.3">
      <c r="A54" s="11" t="s">
        <v>322</v>
      </c>
      <c r="B54" s="9" t="s">
        <v>46</v>
      </c>
      <c r="C54" s="15" t="s">
        <v>283</v>
      </c>
      <c r="D54" s="15" t="s">
        <v>187</v>
      </c>
      <c r="E54" s="15" t="s">
        <v>95</v>
      </c>
      <c r="F54" s="15" t="s">
        <v>323</v>
      </c>
      <c r="G54" s="15" t="s">
        <v>324</v>
      </c>
      <c r="H54" s="9" t="s">
        <v>52</v>
      </c>
      <c r="I54" s="15" t="s">
        <v>325</v>
      </c>
      <c r="J54" s="15" t="s">
        <v>325</v>
      </c>
      <c r="K54" s="9" t="s">
        <v>326</v>
      </c>
      <c r="L54" s="9" t="s">
        <v>153</v>
      </c>
      <c r="M54" s="9" t="s">
        <v>106</v>
      </c>
      <c r="N54" s="16" t="s">
        <v>42</v>
      </c>
      <c r="O54" s="17"/>
      <c r="P54" s="17"/>
      <c r="Q54" s="17"/>
      <c r="R54" s="18"/>
      <c r="S54" s="16"/>
      <c r="T54" s="17"/>
    </row>
    <row r="55" spans="1:20" ht="22.8" x14ac:dyDescent="0.3">
      <c r="A55" s="11" t="s">
        <v>327</v>
      </c>
      <c r="B55" s="9" t="s">
        <v>46</v>
      </c>
      <c r="C55" s="15" t="s">
        <v>283</v>
      </c>
      <c r="D55" s="15" t="s">
        <v>200</v>
      </c>
      <c r="E55" s="15" t="s">
        <v>328</v>
      </c>
      <c r="F55" s="15" t="s">
        <v>329</v>
      </c>
      <c r="G55" s="15" t="s">
        <v>330</v>
      </c>
      <c r="H55" s="9" t="s">
        <v>52</v>
      </c>
      <c r="I55" s="15" t="s">
        <v>331</v>
      </c>
      <c r="J55" s="15" t="s">
        <v>332</v>
      </c>
      <c r="K55" s="9"/>
      <c r="L55" s="9" t="s">
        <v>97</v>
      </c>
      <c r="M55" s="9" t="s">
        <v>106</v>
      </c>
      <c r="N55" s="16" t="s">
        <v>42</v>
      </c>
      <c r="O55" s="17"/>
      <c r="P55" s="17"/>
      <c r="Q55" s="17"/>
      <c r="R55" s="18"/>
      <c r="S55" s="16"/>
      <c r="T55" s="17"/>
    </row>
    <row r="56" spans="1:20" ht="22.8" x14ac:dyDescent="0.3">
      <c r="A56" s="11" t="s">
        <v>333</v>
      </c>
      <c r="B56" s="9" t="s">
        <v>46</v>
      </c>
      <c r="C56" s="15" t="s">
        <v>283</v>
      </c>
      <c r="D56" s="15" t="s">
        <v>187</v>
      </c>
      <c r="E56" s="15" t="s">
        <v>334</v>
      </c>
      <c r="F56" s="15" t="s">
        <v>335</v>
      </c>
      <c r="G56" s="15" t="s">
        <v>336</v>
      </c>
      <c r="H56" s="9" t="s">
        <v>52</v>
      </c>
      <c r="I56" s="15" t="s">
        <v>337</v>
      </c>
      <c r="J56" s="15" t="s">
        <v>338</v>
      </c>
      <c r="K56" s="9" t="s">
        <v>339</v>
      </c>
      <c r="L56" s="9" t="s">
        <v>153</v>
      </c>
      <c r="M56" s="9" t="s">
        <v>106</v>
      </c>
      <c r="N56" s="16" t="s">
        <v>42</v>
      </c>
      <c r="O56" s="17"/>
      <c r="P56" s="17"/>
      <c r="Q56" s="17"/>
      <c r="R56" s="18"/>
      <c r="S56" s="16"/>
      <c r="T56" s="17"/>
    </row>
    <row r="57" spans="1:20" ht="22.8" x14ac:dyDescent="0.3">
      <c r="A57" s="11" t="s">
        <v>340</v>
      </c>
      <c r="B57" s="9" t="s">
        <v>46</v>
      </c>
      <c r="C57" s="15" t="s">
        <v>283</v>
      </c>
      <c r="D57" s="15" t="s">
        <v>200</v>
      </c>
      <c r="E57" s="15" t="s">
        <v>95</v>
      </c>
      <c r="F57" s="15" t="s">
        <v>341</v>
      </c>
      <c r="G57" s="15" t="s">
        <v>342</v>
      </c>
      <c r="H57" s="9" t="s">
        <v>53</v>
      </c>
      <c r="I57" s="15" t="s">
        <v>343</v>
      </c>
      <c r="J57" s="15" t="s">
        <v>343</v>
      </c>
      <c r="K57" s="9" t="s">
        <v>344</v>
      </c>
      <c r="L57" s="9" t="s">
        <v>153</v>
      </c>
      <c r="M57" s="9" t="s">
        <v>106</v>
      </c>
      <c r="N57" s="16" t="s">
        <v>42</v>
      </c>
      <c r="O57" s="17"/>
      <c r="P57" s="17"/>
      <c r="Q57" s="17"/>
      <c r="R57" s="18"/>
      <c r="S57" s="16"/>
      <c r="T57" s="17"/>
    </row>
    <row r="58" spans="1:20" x14ac:dyDescent="0.3">
      <c r="A58" s="11" t="s">
        <v>345</v>
      </c>
      <c r="B58" s="9" t="s">
        <v>46</v>
      </c>
      <c r="C58" s="15" t="s">
        <v>283</v>
      </c>
      <c r="D58" s="15" t="s">
        <v>187</v>
      </c>
      <c r="E58" s="15" t="s">
        <v>95</v>
      </c>
      <c r="F58" s="15" t="s">
        <v>346</v>
      </c>
      <c r="G58" s="15" t="s">
        <v>347</v>
      </c>
      <c r="H58" s="9" t="s">
        <v>53</v>
      </c>
      <c r="I58" s="15" t="s">
        <v>348</v>
      </c>
      <c r="J58" s="15" t="s">
        <v>349</v>
      </c>
      <c r="K58" s="9" t="s">
        <v>350</v>
      </c>
      <c r="L58" s="9" t="s">
        <v>153</v>
      </c>
      <c r="M58" s="9" t="s">
        <v>106</v>
      </c>
      <c r="N58" s="16" t="s">
        <v>42</v>
      </c>
      <c r="O58" s="17"/>
      <c r="P58" s="17"/>
      <c r="Q58" s="17"/>
      <c r="R58" s="18"/>
      <c r="S58" s="16"/>
      <c r="T58" s="17"/>
    </row>
    <row r="59" spans="1:20" ht="45.6" x14ac:dyDescent="0.3">
      <c r="A59" s="11" t="s">
        <v>351</v>
      </c>
      <c r="B59" s="9" t="s">
        <v>46</v>
      </c>
      <c r="C59" s="15" t="s">
        <v>283</v>
      </c>
      <c r="D59" s="15" t="s">
        <v>352</v>
      </c>
      <c r="E59" s="15" t="s">
        <v>95</v>
      </c>
      <c r="F59" s="15" t="s">
        <v>353</v>
      </c>
      <c r="G59" s="15" t="s">
        <v>354</v>
      </c>
      <c r="H59" s="9" t="s">
        <v>53</v>
      </c>
      <c r="I59" s="15" t="s">
        <v>355</v>
      </c>
      <c r="J59" s="15" t="s">
        <v>356</v>
      </c>
      <c r="K59" s="9" t="s">
        <v>357</v>
      </c>
      <c r="L59" s="9" t="s">
        <v>153</v>
      </c>
      <c r="M59" s="9" t="s">
        <v>106</v>
      </c>
      <c r="N59" s="16" t="s">
        <v>42</v>
      </c>
      <c r="O59" s="17"/>
      <c r="P59" s="17"/>
      <c r="Q59" s="17"/>
      <c r="R59" s="18"/>
      <c r="S59" s="16"/>
      <c r="T59" s="17"/>
    </row>
    <row r="60" spans="1:20" ht="34.200000000000003" x14ac:dyDescent="0.3">
      <c r="A60" s="11" t="s">
        <v>358</v>
      </c>
      <c r="B60" s="9" t="s">
        <v>46</v>
      </c>
      <c r="C60" s="15" t="s">
        <v>283</v>
      </c>
      <c r="D60" s="15" t="s">
        <v>200</v>
      </c>
      <c r="E60" s="15" t="s">
        <v>359</v>
      </c>
      <c r="F60" s="15" t="s">
        <v>360</v>
      </c>
      <c r="G60" s="15" t="s">
        <v>361</v>
      </c>
      <c r="H60" s="9" t="s">
        <v>53</v>
      </c>
      <c r="I60" s="15" t="s">
        <v>362</v>
      </c>
      <c r="J60" s="15" t="s">
        <v>363</v>
      </c>
      <c r="K60" s="9" t="s">
        <v>364</v>
      </c>
      <c r="L60" s="9" t="s">
        <v>153</v>
      </c>
      <c r="M60" s="9" t="s">
        <v>106</v>
      </c>
      <c r="N60" s="16" t="s">
        <v>42</v>
      </c>
      <c r="O60" s="17"/>
      <c r="P60" s="17"/>
      <c r="Q60" s="17"/>
      <c r="R60" s="18"/>
      <c r="S60" s="16"/>
      <c r="T60" s="17"/>
    </row>
    <row r="61" spans="1:20" ht="22.8" x14ac:dyDescent="0.3">
      <c r="A61" s="11" t="s">
        <v>365</v>
      </c>
      <c r="B61" s="9" t="s">
        <v>46</v>
      </c>
      <c r="C61" s="15" t="s">
        <v>366</v>
      </c>
      <c r="D61" s="15" t="s">
        <v>180</v>
      </c>
      <c r="E61" s="15" t="s">
        <v>95</v>
      </c>
      <c r="F61" s="15" t="s">
        <v>367</v>
      </c>
      <c r="G61" s="15" t="s">
        <v>368</v>
      </c>
      <c r="H61" s="9" t="s">
        <v>52</v>
      </c>
      <c r="I61" s="15" t="s">
        <v>369</v>
      </c>
      <c r="J61" s="15" t="s">
        <v>369</v>
      </c>
      <c r="K61" s="9"/>
      <c r="L61" s="9" t="s">
        <v>97</v>
      </c>
      <c r="M61" s="9" t="s">
        <v>106</v>
      </c>
      <c r="N61" s="16" t="s">
        <v>42</v>
      </c>
      <c r="O61" s="17"/>
      <c r="P61" s="17"/>
      <c r="Q61" s="17"/>
      <c r="R61" s="18"/>
      <c r="S61" s="16"/>
      <c r="T61" s="17"/>
    </row>
    <row r="62" spans="1:20" ht="22.8" x14ac:dyDescent="0.3">
      <c r="A62" s="11" t="s">
        <v>370</v>
      </c>
      <c r="B62" s="9" t="s">
        <v>46</v>
      </c>
      <c r="C62" s="15" t="s">
        <v>366</v>
      </c>
      <c r="D62" s="15" t="s">
        <v>187</v>
      </c>
      <c r="E62" s="15" t="s">
        <v>95</v>
      </c>
      <c r="F62" s="15" t="s">
        <v>371</v>
      </c>
      <c r="G62" s="15" t="s">
        <v>372</v>
      </c>
      <c r="H62" s="9" t="s">
        <v>52</v>
      </c>
      <c r="I62" s="15" t="s">
        <v>373</v>
      </c>
      <c r="J62" s="15" t="s">
        <v>373</v>
      </c>
      <c r="K62" s="9"/>
      <c r="L62" s="9" t="s">
        <v>97</v>
      </c>
      <c r="M62" s="9" t="s">
        <v>106</v>
      </c>
      <c r="N62" s="16" t="s">
        <v>42</v>
      </c>
      <c r="O62" s="17"/>
      <c r="P62" s="17"/>
      <c r="Q62" s="17"/>
      <c r="R62" s="18"/>
      <c r="S62" s="16"/>
      <c r="T62" s="17"/>
    </row>
    <row r="63" spans="1:20" ht="22.8" x14ac:dyDescent="0.3">
      <c r="A63" s="11" t="s">
        <v>374</v>
      </c>
      <c r="B63" s="9" t="s">
        <v>46</v>
      </c>
      <c r="C63" s="15" t="s">
        <v>366</v>
      </c>
      <c r="D63" s="15" t="s">
        <v>187</v>
      </c>
      <c r="E63" s="15" t="s">
        <v>95</v>
      </c>
      <c r="F63" s="15" t="s">
        <v>375</v>
      </c>
      <c r="G63" s="15" t="s">
        <v>376</v>
      </c>
      <c r="H63" s="9" t="s">
        <v>53</v>
      </c>
      <c r="I63" s="15" t="s">
        <v>369</v>
      </c>
      <c r="J63" s="15" t="s">
        <v>369</v>
      </c>
      <c r="K63" s="9"/>
      <c r="L63" s="9" t="s">
        <v>97</v>
      </c>
      <c r="M63" s="9" t="s">
        <v>106</v>
      </c>
      <c r="N63" s="16" t="s">
        <v>42</v>
      </c>
      <c r="O63" s="17"/>
      <c r="P63" s="17"/>
      <c r="Q63" s="17"/>
      <c r="R63" s="18"/>
      <c r="S63" s="16"/>
      <c r="T63" s="17"/>
    </row>
    <row r="64" spans="1:20" ht="22.8" x14ac:dyDescent="0.3">
      <c r="A64" s="11" t="s">
        <v>377</v>
      </c>
      <c r="B64" s="9" t="s">
        <v>46</v>
      </c>
      <c r="C64" s="15" t="s">
        <v>366</v>
      </c>
      <c r="D64" s="15" t="s">
        <v>187</v>
      </c>
      <c r="E64" s="15" t="s">
        <v>95</v>
      </c>
      <c r="F64" s="15" t="s">
        <v>378</v>
      </c>
      <c r="G64" s="15" t="s">
        <v>379</v>
      </c>
      <c r="H64" s="9" t="s">
        <v>53</v>
      </c>
      <c r="I64" s="15" t="s">
        <v>373</v>
      </c>
      <c r="J64" s="15" t="s">
        <v>373</v>
      </c>
      <c r="K64" s="9"/>
      <c r="L64" s="9" t="s">
        <v>97</v>
      </c>
      <c r="M64" s="9" t="s">
        <v>106</v>
      </c>
      <c r="N64" s="16" t="s">
        <v>42</v>
      </c>
      <c r="O64" s="17"/>
      <c r="P64" s="17"/>
      <c r="Q64" s="17"/>
      <c r="R64" s="18"/>
      <c r="S64" s="16"/>
      <c r="T64" s="17"/>
    </row>
    <row r="65" spans="1:20" ht="22.8" x14ac:dyDescent="0.3">
      <c r="A65" s="11" t="s">
        <v>380</v>
      </c>
      <c r="B65" s="9" t="s">
        <v>46</v>
      </c>
      <c r="C65" s="15" t="s">
        <v>366</v>
      </c>
      <c r="D65" s="15" t="s">
        <v>187</v>
      </c>
      <c r="E65" s="15" t="s">
        <v>381</v>
      </c>
      <c r="F65" s="15" t="s">
        <v>382</v>
      </c>
      <c r="G65" s="15" t="s">
        <v>383</v>
      </c>
      <c r="H65" s="9" t="s">
        <v>52</v>
      </c>
      <c r="I65" s="15" t="s">
        <v>95</v>
      </c>
      <c r="J65" s="15" t="s">
        <v>128</v>
      </c>
      <c r="K65" s="9"/>
      <c r="L65" s="9" t="s">
        <v>97</v>
      </c>
      <c r="M65" s="9" t="s">
        <v>98</v>
      </c>
      <c r="N65" s="16" t="s">
        <v>42</v>
      </c>
      <c r="O65" s="17"/>
      <c r="P65" s="17"/>
      <c r="Q65" s="17"/>
      <c r="R65" s="18"/>
      <c r="S65" s="16"/>
      <c r="T65" s="17"/>
    </row>
    <row r="66" spans="1:20" ht="22.8" x14ac:dyDescent="0.3">
      <c r="A66" s="11" t="s">
        <v>384</v>
      </c>
      <c r="B66" s="9" t="s">
        <v>46</v>
      </c>
      <c r="C66" s="15" t="s">
        <v>366</v>
      </c>
      <c r="D66" s="15" t="s">
        <v>187</v>
      </c>
      <c r="E66" s="15" t="s">
        <v>95</v>
      </c>
      <c r="F66" s="15" t="s">
        <v>385</v>
      </c>
      <c r="G66" s="15" t="s">
        <v>386</v>
      </c>
      <c r="H66" s="9" t="s">
        <v>52</v>
      </c>
      <c r="I66" s="15" t="s">
        <v>387</v>
      </c>
      <c r="J66" s="15" t="s">
        <v>388</v>
      </c>
      <c r="K66" s="9"/>
      <c r="L66" s="9" t="s">
        <v>97</v>
      </c>
      <c r="M66" s="9" t="s">
        <v>106</v>
      </c>
      <c r="N66" s="16" t="s">
        <v>42</v>
      </c>
      <c r="O66" s="17"/>
      <c r="P66" s="17"/>
      <c r="Q66" s="17"/>
      <c r="R66" s="18"/>
      <c r="S66" s="16"/>
      <c r="T66" s="17"/>
    </row>
    <row r="67" spans="1:20" ht="22.8" x14ac:dyDescent="0.3">
      <c r="A67" s="11" t="s">
        <v>389</v>
      </c>
      <c r="B67" s="9" t="s">
        <v>46</v>
      </c>
      <c r="C67" s="15" t="s">
        <v>366</v>
      </c>
      <c r="D67" s="15" t="s">
        <v>187</v>
      </c>
      <c r="E67" s="15" t="s">
        <v>390</v>
      </c>
      <c r="F67" s="15" t="s">
        <v>391</v>
      </c>
      <c r="G67" s="15" t="s">
        <v>392</v>
      </c>
      <c r="H67" s="9" t="s">
        <v>53</v>
      </c>
      <c r="I67" s="15" t="s">
        <v>95</v>
      </c>
      <c r="J67" s="15" t="s">
        <v>128</v>
      </c>
      <c r="K67" s="9"/>
      <c r="L67" s="9" t="s">
        <v>97</v>
      </c>
      <c r="M67" s="9" t="s">
        <v>106</v>
      </c>
      <c r="N67" s="16" t="s">
        <v>42</v>
      </c>
      <c r="O67" s="17"/>
      <c r="P67" s="17"/>
      <c r="Q67" s="17"/>
      <c r="R67" s="18"/>
      <c r="S67" s="16"/>
      <c r="T67" s="17"/>
    </row>
    <row r="68" spans="1:20" ht="22.8" x14ac:dyDescent="0.3">
      <c r="A68" s="11" t="s">
        <v>393</v>
      </c>
      <c r="B68" s="9" t="s">
        <v>46</v>
      </c>
      <c r="C68" s="15" t="s">
        <v>366</v>
      </c>
      <c r="D68" s="15" t="s">
        <v>187</v>
      </c>
      <c r="E68" s="15" t="s">
        <v>95</v>
      </c>
      <c r="F68" s="15" t="s">
        <v>394</v>
      </c>
      <c r="G68" s="15" t="s">
        <v>395</v>
      </c>
      <c r="H68" s="9" t="s">
        <v>52</v>
      </c>
      <c r="I68" s="15" t="s">
        <v>136</v>
      </c>
      <c r="J68" s="15" t="s">
        <v>136</v>
      </c>
      <c r="K68" s="9" t="s">
        <v>396</v>
      </c>
      <c r="L68" s="9" t="s">
        <v>153</v>
      </c>
      <c r="M68" s="9" t="s">
        <v>106</v>
      </c>
      <c r="N68" s="16" t="s">
        <v>42</v>
      </c>
      <c r="O68" s="17"/>
      <c r="P68" s="17"/>
      <c r="Q68" s="17"/>
      <c r="R68" s="18"/>
      <c r="S68" s="16"/>
      <c r="T68" s="17"/>
    </row>
    <row r="69" spans="1:20" ht="22.8" x14ac:dyDescent="0.3">
      <c r="A69" s="11" t="s">
        <v>397</v>
      </c>
      <c r="B69" s="9" t="s">
        <v>46</v>
      </c>
      <c r="C69" s="15" t="s">
        <v>366</v>
      </c>
      <c r="D69" s="15" t="s">
        <v>262</v>
      </c>
      <c r="E69" s="15" t="s">
        <v>398</v>
      </c>
      <c r="F69" s="15" t="s">
        <v>399</v>
      </c>
      <c r="G69" s="15" t="s">
        <v>400</v>
      </c>
      <c r="H69" s="9" t="s">
        <v>52</v>
      </c>
      <c r="I69" s="15" t="s">
        <v>136</v>
      </c>
      <c r="J69" s="15" t="s">
        <v>136</v>
      </c>
      <c r="K69" s="9" t="s">
        <v>401</v>
      </c>
      <c r="L69" s="9" t="s">
        <v>153</v>
      </c>
      <c r="M69" s="9" t="s">
        <v>106</v>
      </c>
      <c r="N69" s="16" t="s">
        <v>42</v>
      </c>
      <c r="O69" s="17"/>
      <c r="P69" s="17"/>
      <c r="Q69" s="17"/>
      <c r="R69" s="18"/>
      <c r="S69" s="16"/>
      <c r="T69" s="17"/>
    </row>
    <row r="70" spans="1:20" ht="34.200000000000003" x14ac:dyDescent="0.3">
      <c r="A70" s="11" t="s">
        <v>402</v>
      </c>
      <c r="B70" s="9" t="s">
        <v>46</v>
      </c>
      <c r="C70" s="15" t="s">
        <v>366</v>
      </c>
      <c r="D70" s="15" t="s">
        <v>187</v>
      </c>
      <c r="E70" s="15" t="s">
        <v>95</v>
      </c>
      <c r="F70" s="15" t="s">
        <v>403</v>
      </c>
      <c r="G70" s="15" t="s">
        <v>404</v>
      </c>
      <c r="H70" s="9" t="s">
        <v>52</v>
      </c>
      <c r="I70" s="15" t="s">
        <v>405</v>
      </c>
      <c r="J70" s="15" t="s">
        <v>405</v>
      </c>
      <c r="K70" s="9" t="s">
        <v>406</v>
      </c>
      <c r="L70" s="9" t="s">
        <v>153</v>
      </c>
      <c r="M70" s="9" t="s">
        <v>106</v>
      </c>
      <c r="N70" s="16" t="s">
        <v>42</v>
      </c>
      <c r="O70" s="17"/>
      <c r="P70" s="17"/>
      <c r="Q70" s="17"/>
      <c r="R70" s="18"/>
      <c r="S70" s="16"/>
      <c r="T70" s="17"/>
    </row>
    <row r="71" spans="1:20" ht="22.8" x14ac:dyDescent="0.3">
      <c r="A71" s="11" t="s">
        <v>407</v>
      </c>
      <c r="B71" s="9" t="s">
        <v>46</v>
      </c>
      <c r="C71" s="15" t="s">
        <v>366</v>
      </c>
      <c r="D71" s="15" t="s">
        <v>187</v>
      </c>
      <c r="E71" s="15" t="s">
        <v>408</v>
      </c>
      <c r="F71" s="15" t="s">
        <v>409</v>
      </c>
      <c r="G71" s="15" t="s">
        <v>410</v>
      </c>
      <c r="H71" s="9" t="s">
        <v>53</v>
      </c>
      <c r="I71" s="15" t="s">
        <v>136</v>
      </c>
      <c r="J71" s="15" t="s">
        <v>136</v>
      </c>
      <c r="K71" s="9"/>
      <c r="L71" s="9" t="s">
        <v>97</v>
      </c>
      <c r="M71" s="9" t="s">
        <v>106</v>
      </c>
      <c r="N71" s="16" t="s">
        <v>42</v>
      </c>
      <c r="O71" s="17"/>
      <c r="P71" s="17"/>
      <c r="Q71" s="17"/>
      <c r="R71" s="18"/>
      <c r="S71" s="16"/>
      <c r="T71" s="17"/>
    </row>
    <row r="72" spans="1:20" ht="22.8" x14ac:dyDescent="0.3">
      <c r="A72" s="11" t="s">
        <v>411</v>
      </c>
      <c r="B72" s="9" t="s">
        <v>46</v>
      </c>
      <c r="C72" s="15" t="s">
        <v>366</v>
      </c>
      <c r="D72" s="15" t="s">
        <v>187</v>
      </c>
      <c r="E72" s="15" t="s">
        <v>95</v>
      </c>
      <c r="F72" s="15" t="s">
        <v>412</v>
      </c>
      <c r="G72" s="15" t="s">
        <v>413</v>
      </c>
      <c r="H72" s="9" t="s">
        <v>53</v>
      </c>
      <c r="I72" s="15" t="s">
        <v>95</v>
      </c>
      <c r="J72" s="15" t="s">
        <v>128</v>
      </c>
      <c r="K72" s="9"/>
      <c r="L72" s="9" t="s">
        <v>97</v>
      </c>
      <c r="M72" s="9" t="s">
        <v>106</v>
      </c>
      <c r="N72" s="16" t="s">
        <v>42</v>
      </c>
      <c r="O72" s="17"/>
      <c r="P72" s="17"/>
      <c r="Q72" s="17"/>
      <c r="R72" s="18"/>
      <c r="S72" s="16"/>
      <c r="T72" s="17"/>
    </row>
    <row r="73" spans="1:20" ht="34.200000000000003" x14ac:dyDescent="0.3">
      <c r="A73" s="11" t="s">
        <v>414</v>
      </c>
      <c r="B73" s="9" t="s">
        <v>46</v>
      </c>
      <c r="C73" s="15" t="s">
        <v>366</v>
      </c>
      <c r="D73" s="15" t="s">
        <v>180</v>
      </c>
      <c r="E73" s="15" t="s">
        <v>95</v>
      </c>
      <c r="F73" s="15" t="s">
        <v>415</v>
      </c>
      <c r="G73" s="15" t="s">
        <v>416</v>
      </c>
      <c r="H73" s="9" t="s">
        <v>53</v>
      </c>
      <c r="I73" s="15" t="s">
        <v>369</v>
      </c>
      <c r="J73" s="15" t="s">
        <v>369</v>
      </c>
      <c r="K73" s="9" t="s">
        <v>417</v>
      </c>
      <c r="L73" s="9" t="s">
        <v>153</v>
      </c>
      <c r="M73" s="9" t="s">
        <v>106</v>
      </c>
      <c r="N73" s="16" t="s">
        <v>42</v>
      </c>
      <c r="O73" s="17"/>
      <c r="P73" s="17"/>
      <c r="Q73" s="17"/>
      <c r="R73" s="18"/>
      <c r="S73" s="16"/>
      <c r="T73" s="17"/>
    </row>
    <row r="74" spans="1:20" ht="34.200000000000003" x14ac:dyDescent="0.3">
      <c r="A74" s="11" t="s">
        <v>418</v>
      </c>
      <c r="B74" s="9" t="s">
        <v>46</v>
      </c>
      <c r="C74" s="15" t="s">
        <v>366</v>
      </c>
      <c r="D74" s="15" t="s">
        <v>187</v>
      </c>
      <c r="E74" s="15" t="s">
        <v>419</v>
      </c>
      <c r="F74" s="15" t="s">
        <v>420</v>
      </c>
      <c r="G74" s="15" t="s">
        <v>421</v>
      </c>
      <c r="H74" s="9" t="s">
        <v>53</v>
      </c>
      <c r="I74" s="15" t="s">
        <v>422</v>
      </c>
      <c r="J74" s="15" t="s">
        <v>423</v>
      </c>
      <c r="K74" s="9" t="s">
        <v>424</v>
      </c>
      <c r="L74" s="9" t="s">
        <v>153</v>
      </c>
      <c r="M74" s="9" t="s">
        <v>106</v>
      </c>
      <c r="N74" s="16" t="s">
        <v>42</v>
      </c>
      <c r="O74" s="17"/>
      <c r="P74" s="17"/>
      <c r="Q74" s="17"/>
      <c r="R74" s="18"/>
      <c r="S74" s="16"/>
      <c r="T74" s="17"/>
    </row>
    <row r="75" spans="1:20" ht="22.8" x14ac:dyDescent="0.3">
      <c r="A75" s="11" t="s">
        <v>425</v>
      </c>
      <c r="B75" s="9" t="s">
        <v>46</v>
      </c>
      <c r="C75" s="15" t="s">
        <v>426</v>
      </c>
      <c r="D75" s="15" t="s">
        <v>200</v>
      </c>
      <c r="E75" s="15" t="s">
        <v>427</v>
      </c>
      <c r="F75" s="15" t="s">
        <v>428</v>
      </c>
      <c r="G75" s="15" t="s">
        <v>429</v>
      </c>
      <c r="H75" s="9" t="s">
        <v>52</v>
      </c>
      <c r="I75" s="15" t="s">
        <v>430</v>
      </c>
      <c r="J75" s="15" t="s">
        <v>430</v>
      </c>
      <c r="K75" s="9"/>
      <c r="L75" s="9" t="s">
        <v>97</v>
      </c>
      <c r="M75" s="9" t="s">
        <v>106</v>
      </c>
      <c r="N75" s="16" t="s">
        <v>42</v>
      </c>
      <c r="O75" s="17"/>
      <c r="P75" s="17"/>
      <c r="Q75" s="17"/>
      <c r="R75" s="18"/>
      <c r="S75" s="16"/>
      <c r="T75" s="17"/>
    </row>
    <row r="76" spans="1:20" ht="22.8" x14ac:dyDescent="0.3">
      <c r="A76" s="11" t="s">
        <v>431</v>
      </c>
      <c r="B76" s="9" t="s">
        <v>46</v>
      </c>
      <c r="C76" s="15" t="s">
        <v>426</v>
      </c>
      <c r="D76" s="15" t="s">
        <v>200</v>
      </c>
      <c r="E76" s="15" t="s">
        <v>95</v>
      </c>
      <c r="F76" s="15" t="s">
        <v>432</v>
      </c>
      <c r="G76" s="15" t="s">
        <v>433</v>
      </c>
      <c r="H76" s="9" t="s">
        <v>52</v>
      </c>
      <c r="I76" s="15" t="s">
        <v>136</v>
      </c>
      <c r="J76" s="15" t="s">
        <v>136</v>
      </c>
      <c r="K76" s="9"/>
      <c r="L76" s="9" t="s">
        <v>97</v>
      </c>
      <c r="M76" s="9" t="s">
        <v>106</v>
      </c>
      <c r="N76" s="16" t="s">
        <v>42</v>
      </c>
      <c r="O76" s="17"/>
      <c r="P76" s="17"/>
      <c r="Q76" s="17"/>
      <c r="R76" s="18"/>
      <c r="S76" s="16"/>
      <c r="T76" s="17"/>
    </row>
    <row r="77" spans="1:20" ht="22.8" x14ac:dyDescent="0.3">
      <c r="A77" s="11" t="s">
        <v>434</v>
      </c>
      <c r="B77" s="9" t="s">
        <v>46</v>
      </c>
      <c r="C77" s="15" t="s">
        <v>426</v>
      </c>
      <c r="D77" s="15" t="s">
        <v>200</v>
      </c>
      <c r="E77" s="15" t="s">
        <v>95</v>
      </c>
      <c r="F77" s="15" t="s">
        <v>435</v>
      </c>
      <c r="G77" s="15" t="s">
        <v>436</v>
      </c>
      <c r="H77" s="9" t="s">
        <v>53</v>
      </c>
      <c r="I77" s="15" t="s">
        <v>95</v>
      </c>
      <c r="J77" s="15" t="s">
        <v>128</v>
      </c>
      <c r="K77" s="9"/>
      <c r="L77" s="9" t="s">
        <v>97</v>
      </c>
      <c r="M77" s="9" t="s">
        <v>106</v>
      </c>
      <c r="N77" s="16" t="s">
        <v>42</v>
      </c>
      <c r="O77" s="17"/>
      <c r="P77" s="17"/>
      <c r="Q77" s="17"/>
      <c r="R77" s="18"/>
      <c r="S77" s="16"/>
      <c r="T77" s="17"/>
    </row>
    <row r="78" spans="1:20" ht="22.8" x14ac:dyDescent="0.3">
      <c r="A78" s="11" t="s">
        <v>437</v>
      </c>
      <c r="B78" s="9" t="s">
        <v>46</v>
      </c>
      <c r="C78" s="15" t="s">
        <v>426</v>
      </c>
      <c r="D78" s="15" t="s">
        <v>200</v>
      </c>
      <c r="E78" s="15" t="s">
        <v>95</v>
      </c>
      <c r="F78" s="15" t="s">
        <v>438</v>
      </c>
      <c r="G78" s="15" t="s">
        <v>439</v>
      </c>
      <c r="H78" s="9" t="s">
        <v>53</v>
      </c>
      <c r="I78" s="15" t="s">
        <v>95</v>
      </c>
      <c r="J78" s="15" t="s">
        <v>128</v>
      </c>
      <c r="K78" s="9"/>
      <c r="L78" s="9" t="s">
        <v>97</v>
      </c>
      <c r="M78" s="9" t="s">
        <v>106</v>
      </c>
      <c r="N78" s="16" t="s">
        <v>42</v>
      </c>
      <c r="O78" s="17"/>
      <c r="P78" s="17"/>
      <c r="Q78" s="17"/>
      <c r="R78" s="18"/>
      <c r="S78" s="16"/>
      <c r="T78" s="17"/>
    </row>
    <row r="79" spans="1:20" ht="22.8" x14ac:dyDescent="0.3">
      <c r="A79" s="11" t="s">
        <v>440</v>
      </c>
      <c r="B79" s="9" t="s">
        <v>46</v>
      </c>
      <c r="C79" s="15" t="s">
        <v>426</v>
      </c>
      <c r="D79" s="15" t="s">
        <v>200</v>
      </c>
      <c r="E79" s="15" t="s">
        <v>95</v>
      </c>
      <c r="F79" s="15" t="s">
        <v>441</v>
      </c>
      <c r="G79" s="15" t="s">
        <v>442</v>
      </c>
      <c r="H79" s="9" t="s">
        <v>52</v>
      </c>
      <c r="I79" s="15" t="s">
        <v>443</v>
      </c>
      <c r="J79" s="15" t="s">
        <v>443</v>
      </c>
      <c r="K79" s="9"/>
      <c r="L79" s="9" t="s">
        <v>97</v>
      </c>
      <c r="M79" s="9" t="s">
        <v>106</v>
      </c>
      <c r="N79" s="16" t="s">
        <v>42</v>
      </c>
      <c r="O79" s="17"/>
      <c r="P79" s="17"/>
      <c r="Q79" s="17"/>
      <c r="R79" s="18"/>
      <c r="S79" s="16"/>
      <c r="T79" s="17"/>
    </row>
    <row r="80" spans="1:20" ht="22.8" x14ac:dyDescent="0.3">
      <c r="A80" s="11" t="s">
        <v>444</v>
      </c>
      <c r="B80" s="9" t="s">
        <v>46</v>
      </c>
      <c r="C80" s="15" t="s">
        <v>426</v>
      </c>
      <c r="D80" s="15" t="s">
        <v>200</v>
      </c>
      <c r="E80" s="15" t="s">
        <v>445</v>
      </c>
      <c r="F80" s="15" t="s">
        <v>446</v>
      </c>
      <c r="G80" s="15" t="s">
        <v>447</v>
      </c>
      <c r="H80" s="9" t="s">
        <v>52</v>
      </c>
      <c r="I80" s="15" t="s">
        <v>448</v>
      </c>
      <c r="J80" s="15" t="s">
        <v>449</v>
      </c>
      <c r="K80" s="9" t="s">
        <v>450</v>
      </c>
      <c r="L80" s="9" t="s">
        <v>153</v>
      </c>
      <c r="M80" s="9" t="s">
        <v>106</v>
      </c>
      <c r="N80" s="16" t="s">
        <v>42</v>
      </c>
      <c r="O80" s="17"/>
      <c r="P80" s="17"/>
      <c r="Q80" s="17"/>
      <c r="R80" s="18"/>
      <c r="S80" s="16"/>
      <c r="T80" s="17"/>
    </row>
    <row r="81" spans="1:20" ht="22.8" x14ac:dyDescent="0.3">
      <c r="A81" s="11" t="s">
        <v>451</v>
      </c>
      <c r="B81" s="9" t="s">
        <v>46</v>
      </c>
      <c r="C81" s="15" t="s">
        <v>426</v>
      </c>
      <c r="D81" s="15" t="s">
        <v>200</v>
      </c>
      <c r="E81" s="15" t="s">
        <v>95</v>
      </c>
      <c r="F81" s="15" t="s">
        <v>452</v>
      </c>
      <c r="G81" s="15" t="s">
        <v>453</v>
      </c>
      <c r="H81" s="9" t="s">
        <v>53</v>
      </c>
      <c r="I81" s="15" t="s">
        <v>443</v>
      </c>
      <c r="J81" s="15" t="s">
        <v>443</v>
      </c>
      <c r="K81" s="9"/>
      <c r="L81" s="9" t="s">
        <v>97</v>
      </c>
      <c r="M81" s="9" t="s">
        <v>106</v>
      </c>
      <c r="N81" s="16" t="s">
        <v>42</v>
      </c>
      <c r="O81" s="17"/>
      <c r="P81" s="17"/>
      <c r="Q81" s="17"/>
      <c r="R81" s="18"/>
      <c r="S81" s="16"/>
      <c r="T81" s="17"/>
    </row>
    <row r="82" spans="1:20" ht="22.8" x14ac:dyDescent="0.3">
      <c r="A82" s="11" t="s">
        <v>454</v>
      </c>
      <c r="B82" s="9" t="s">
        <v>46</v>
      </c>
      <c r="C82" s="15" t="s">
        <v>426</v>
      </c>
      <c r="D82" s="15" t="s">
        <v>200</v>
      </c>
      <c r="E82" s="15" t="s">
        <v>95</v>
      </c>
      <c r="F82" s="15" t="s">
        <v>455</v>
      </c>
      <c r="G82" s="15" t="s">
        <v>456</v>
      </c>
      <c r="H82" s="9" t="s">
        <v>52</v>
      </c>
      <c r="I82" s="15" t="s">
        <v>457</v>
      </c>
      <c r="J82" s="15" t="s">
        <v>458</v>
      </c>
      <c r="K82" s="9" t="s">
        <v>459</v>
      </c>
      <c r="L82" s="9" t="s">
        <v>153</v>
      </c>
      <c r="M82" s="9" t="s">
        <v>106</v>
      </c>
      <c r="N82" s="16" t="s">
        <v>42</v>
      </c>
      <c r="O82" s="17"/>
      <c r="P82" s="17"/>
      <c r="Q82" s="17"/>
      <c r="R82" s="18"/>
      <c r="S82" s="16"/>
      <c r="T82" s="17"/>
    </row>
    <row r="83" spans="1:20" ht="22.8" x14ac:dyDescent="0.3">
      <c r="A83" s="11" t="s">
        <v>460</v>
      </c>
      <c r="B83" s="9" t="s">
        <v>46</v>
      </c>
      <c r="C83" s="15" t="s">
        <v>426</v>
      </c>
      <c r="D83" s="15" t="s">
        <v>205</v>
      </c>
      <c r="E83" s="15" t="s">
        <v>461</v>
      </c>
      <c r="F83" s="15" t="s">
        <v>462</v>
      </c>
      <c r="G83" s="15" t="s">
        <v>463</v>
      </c>
      <c r="H83" s="9" t="s">
        <v>52</v>
      </c>
      <c r="I83" s="15" t="s">
        <v>464</v>
      </c>
      <c r="J83" s="15" t="s">
        <v>164</v>
      </c>
      <c r="K83" s="9"/>
      <c r="L83" s="9" t="s">
        <v>97</v>
      </c>
      <c r="M83" s="9" t="s">
        <v>106</v>
      </c>
      <c r="N83" s="16" t="s">
        <v>42</v>
      </c>
      <c r="O83" s="17"/>
      <c r="P83" s="17"/>
      <c r="Q83" s="17"/>
      <c r="R83" s="18"/>
      <c r="S83" s="16"/>
      <c r="T83" s="17"/>
    </row>
    <row r="84" spans="1:20" ht="22.8" x14ac:dyDescent="0.3">
      <c r="A84" s="11" t="s">
        <v>465</v>
      </c>
      <c r="B84" s="9" t="s">
        <v>46</v>
      </c>
      <c r="C84" s="15" t="s">
        <v>426</v>
      </c>
      <c r="D84" s="15" t="s">
        <v>205</v>
      </c>
      <c r="E84" s="15" t="s">
        <v>95</v>
      </c>
      <c r="F84" s="15" t="s">
        <v>466</v>
      </c>
      <c r="G84" s="15" t="s">
        <v>467</v>
      </c>
      <c r="H84" s="9" t="s">
        <v>53</v>
      </c>
      <c r="I84" s="15" t="s">
        <v>95</v>
      </c>
      <c r="J84" s="15" t="s">
        <v>128</v>
      </c>
      <c r="K84" s="9"/>
      <c r="L84" s="9" t="s">
        <v>97</v>
      </c>
      <c r="M84" s="9" t="s">
        <v>106</v>
      </c>
      <c r="N84" s="16" t="s">
        <v>42</v>
      </c>
      <c r="O84" s="17"/>
      <c r="P84" s="17"/>
      <c r="Q84" s="17"/>
      <c r="R84" s="18"/>
      <c r="S84" s="16"/>
      <c r="T84" s="17"/>
    </row>
    <row r="85" spans="1:20" ht="45.6" x14ac:dyDescent="0.3">
      <c r="A85" s="11" t="s">
        <v>468</v>
      </c>
      <c r="B85" s="9" t="s">
        <v>46</v>
      </c>
      <c r="C85" s="15" t="s">
        <v>426</v>
      </c>
      <c r="D85" s="15" t="s">
        <v>469</v>
      </c>
      <c r="E85" s="15" t="s">
        <v>95</v>
      </c>
      <c r="F85" s="15" t="s">
        <v>470</v>
      </c>
      <c r="G85" s="15" t="s">
        <v>471</v>
      </c>
      <c r="H85" s="9" t="s">
        <v>52</v>
      </c>
      <c r="I85" s="15" t="s">
        <v>472</v>
      </c>
      <c r="J85" s="15" t="s">
        <v>128</v>
      </c>
      <c r="K85" s="9" t="s">
        <v>473</v>
      </c>
      <c r="L85" s="9" t="s">
        <v>153</v>
      </c>
      <c r="M85" s="9" t="s">
        <v>106</v>
      </c>
      <c r="N85" s="16" t="s">
        <v>42</v>
      </c>
      <c r="O85" s="17"/>
      <c r="P85" s="17"/>
      <c r="Q85" s="17"/>
      <c r="R85" s="18"/>
      <c r="S85" s="16"/>
      <c r="T85" s="17"/>
    </row>
    <row r="86" spans="1:20" ht="22.8" x14ac:dyDescent="0.3">
      <c r="A86" s="11" t="s">
        <v>474</v>
      </c>
      <c r="B86" s="9" t="s">
        <v>46</v>
      </c>
      <c r="C86" s="15" t="s">
        <v>426</v>
      </c>
      <c r="D86" s="15" t="s">
        <v>205</v>
      </c>
      <c r="E86" s="15" t="s">
        <v>475</v>
      </c>
      <c r="F86" s="15" t="s">
        <v>476</v>
      </c>
      <c r="G86" s="15" t="s">
        <v>477</v>
      </c>
      <c r="H86" s="9" t="s">
        <v>53</v>
      </c>
      <c r="I86" s="15" t="s">
        <v>95</v>
      </c>
      <c r="J86" s="15" t="s">
        <v>128</v>
      </c>
      <c r="K86" s="9"/>
      <c r="L86" s="9" t="s">
        <v>97</v>
      </c>
      <c r="M86" s="9" t="s">
        <v>106</v>
      </c>
      <c r="N86" s="16" t="s">
        <v>42</v>
      </c>
      <c r="O86" s="17"/>
      <c r="P86" s="17"/>
      <c r="Q86" s="17"/>
      <c r="R86" s="18"/>
      <c r="S86" s="16"/>
      <c r="T86" s="17"/>
    </row>
    <row r="87" spans="1:20" ht="34.200000000000003" x14ac:dyDescent="0.3">
      <c r="A87" s="11" t="s">
        <v>478</v>
      </c>
      <c r="B87" s="9" t="s">
        <v>46</v>
      </c>
      <c r="C87" s="15" t="s">
        <v>426</v>
      </c>
      <c r="D87" s="15" t="s">
        <v>205</v>
      </c>
      <c r="E87" s="15" t="s">
        <v>479</v>
      </c>
      <c r="F87" s="15" t="s">
        <v>480</v>
      </c>
      <c r="G87" s="15" t="s">
        <v>481</v>
      </c>
      <c r="H87" s="9" t="s">
        <v>53</v>
      </c>
      <c r="I87" s="15" t="s">
        <v>208</v>
      </c>
      <c r="J87" s="15" t="s">
        <v>164</v>
      </c>
      <c r="K87" s="9" t="s">
        <v>169</v>
      </c>
      <c r="L87" s="9" t="s">
        <v>153</v>
      </c>
      <c r="M87" s="9" t="s">
        <v>106</v>
      </c>
      <c r="N87" s="16" t="s">
        <v>42</v>
      </c>
      <c r="O87" s="17"/>
      <c r="P87" s="17"/>
      <c r="Q87" s="17"/>
      <c r="R87" s="18"/>
      <c r="S87" s="16"/>
      <c r="T87" s="17"/>
    </row>
    <row r="88" spans="1:20" ht="34.200000000000003" x14ac:dyDescent="0.3">
      <c r="A88" s="11" t="s">
        <v>482</v>
      </c>
      <c r="B88" s="9" t="s">
        <v>46</v>
      </c>
      <c r="C88" s="15" t="s">
        <v>426</v>
      </c>
      <c r="D88" s="15" t="s">
        <v>200</v>
      </c>
      <c r="E88" s="15" t="s">
        <v>483</v>
      </c>
      <c r="F88" s="15" t="s">
        <v>484</v>
      </c>
      <c r="G88" s="15" t="s">
        <v>485</v>
      </c>
      <c r="H88" s="9" t="s">
        <v>53</v>
      </c>
      <c r="I88" s="15" t="s">
        <v>486</v>
      </c>
      <c r="J88" s="15" t="s">
        <v>487</v>
      </c>
      <c r="K88" s="9" t="s">
        <v>488</v>
      </c>
      <c r="L88" s="9" t="s">
        <v>153</v>
      </c>
      <c r="M88" s="9" t="s">
        <v>106</v>
      </c>
      <c r="N88" s="16" t="s">
        <v>42</v>
      </c>
      <c r="O88" s="17"/>
      <c r="P88" s="17"/>
      <c r="Q88" s="17"/>
      <c r="R88" s="18"/>
      <c r="S88" s="16"/>
      <c r="T88" s="17"/>
    </row>
    <row r="89" spans="1:20" ht="22.8" x14ac:dyDescent="0.3">
      <c r="A89" s="11" t="s">
        <v>489</v>
      </c>
      <c r="B89" s="9" t="s">
        <v>46</v>
      </c>
      <c r="C89" s="15" t="s">
        <v>490</v>
      </c>
      <c r="D89" s="15" t="s">
        <v>491</v>
      </c>
      <c r="E89" s="15" t="s">
        <v>95</v>
      </c>
      <c r="F89" s="15" t="s">
        <v>492</v>
      </c>
      <c r="G89" s="15" t="s">
        <v>493</v>
      </c>
      <c r="H89" s="9" t="s">
        <v>52</v>
      </c>
      <c r="I89" s="15" t="s">
        <v>494</v>
      </c>
      <c r="J89" s="15" t="s">
        <v>495</v>
      </c>
      <c r="K89" s="9" t="s">
        <v>152</v>
      </c>
      <c r="L89" s="9" t="s">
        <v>153</v>
      </c>
      <c r="M89" s="9" t="s">
        <v>106</v>
      </c>
      <c r="N89" s="16" t="s">
        <v>42</v>
      </c>
      <c r="O89" s="17"/>
      <c r="P89" s="17"/>
      <c r="Q89" s="17"/>
      <c r="R89" s="18"/>
      <c r="S89" s="16"/>
      <c r="T89" s="17"/>
    </row>
    <row r="90" spans="1:20" ht="22.8" x14ac:dyDescent="0.3">
      <c r="A90" s="11" t="s">
        <v>496</v>
      </c>
      <c r="B90" s="9" t="s">
        <v>46</v>
      </c>
      <c r="C90" s="15" t="s">
        <v>490</v>
      </c>
      <c r="D90" s="15" t="s">
        <v>187</v>
      </c>
      <c r="E90" s="15" t="s">
        <v>95</v>
      </c>
      <c r="F90" s="15" t="s">
        <v>497</v>
      </c>
      <c r="G90" s="15" t="s">
        <v>498</v>
      </c>
      <c r="H90" s="9" t="s">
        <v>53</v>
      </c>
      <c r="I90" s="15" t="s">
        <v>499</v>
      </c>
      <c r="J90" s="15" t="s">
        <v>499</v>
      </c>
      <c r="K90" s="9"/>
      <c r="L90" s="9" t="s">
        <v>97</v>
      </c>
      <c r="M90" s="9" t="s">
        <v>106</v>
      </c>
      <c r="N90" s="16" t="s">
        <v>42</v>
      </c>
      <c r="O90" s="17"/>
      <c r="P90" s="17"/>
      <c r="Q90" s="17"/>
      <c r="R90" s="18"/>
      <c r="S90" s="16"/>
      <c r="T90" s="17"/>
    </row>
    <row r="91" spans="1:20" ht="34.200000000000003" x14ac:dyDescent="0.3">
      <c r="A91" s="11" t="s">
        <v>500</v>
      </c>
      <c r="B91" s="9" t="s">
        <v>46</v>
      </c>
      <c r="C91" s="15" t="s">
        <v>490</v>
      </c>
      <c r="D91" s="15" t="s">
        <v>187</v>
      </c>
      <c r="E91" s="15" t="s">
        <v>95</v>
      </c>
      <c r="F91" s="15" t="s">
        <v>501</v>
      </c>
      <c r="G91" s="15" t="s">
        <v>502</v>
      </c>
      <c r="H91" s="9" t="s">
        <v>52</v>
      </c>
      <c r="I91" s="15" t="s">
        <v>95</v>
      </c>
      <c r="J91" s="15" t="s">
        <v>128</v>
      </c>
      <c r="K91" s="9"/>
      <c r="L91" s="9" t="s">
        <v>97</v>
      </c>
      <c r="M91" s="9" t="s">
        <v>106</v>
      </c>
      <c r="N91" s="16" t="s">
        <v>38</v>
      </c>
      <c r="O91" s="17" t="s">
        <v>503</v>
      </c>
      <c r="P91" s="17"/>
      <c r="Q91" s="17" t="s">
        <v>100</v>
      </c>
      <c r="R91" s="18">
        <v>46302</v>
      </c>
      <c r="S91" s="16" t="s">
        <v>101</v>
      </c>
      <c r="T91" s="17"/>
    </row>
    <row r="92" spans="1:20" ht="22.8" x14ac:dyDescent="0.3">
      <c r="A92" s="11" t="s">
        <v>504</v>
      </c>
      <c r="B92" s="9" t="s">
        <v>46</v>
      </c>
      <c r="C92" s="15" t="s">
        <v>490</v>
      </c>
      <c r="D92" s="15" t="s">
        <v>187</v>
      </c>
      <c r="E92" s="15" t="s">
        <v>95</v>
      </c>
      <c r="F92" s="15" t="s">
        <v>505</v>
      </c>
      <c r="G92" s="15" t="s">
        <v>506</v>
      </c>
      <c r="H92" s="9" t="s">
        <v>52</v>
      </c>
      <c r="I92" s="15" t="s">
        <v>507</v>
      </c>
      <c r="J92" s="15" t="s">
        <v>140</v>
      </c>
      <c r="K92" s="9"/>
      <c r="L92" s="9" t="s">
        <v>97</v>
      </c>
      <c r="M92" s="9" t="s">
        <v>98</v>
      </c>
      <c r="N92" s="16" t="s">
        <v>42</v>
      </c>
      <c r="O92" s="17"/>
      <c r="P92" s="17"/>
      <c r="Q92" s="17"/>
      <c r="R92" s="18"/>
      <c r="S92" s="16"/>
      <c r="T92" s="17"/>
    </row>
    <row r="93" spans="1:20" ht="34.200000000000003" x14ac:dyDescent="0.3">
      <c r="A93" s="11" t="s">
        <v>508</v>
      </c>
      <c r="B93" s="9" t="s">
        <v>46</v>
      </c>
      <c r="C93" s="15" t="s">
        <v>490</v>
      </c>
      <c r="D93" s="15" t="s">
        <v>200</v>
      </c>
      <c r="E93" s="15" t="s">
        <v>509</v>
      </c>
      <c r="F93" s="15" t="s">
        <v>510</v>
      </c>
      <c r="G93" s="15" t="s">
        <v>511</v>
      </c>
      <c r="H93" s="9" t="s">
        <v>52</v>
      </c>
      <c r="I93" s="15" t="s">
        <v>512</v>
      </c>
      <c r="J93" s="15" t="s">
        <v>513</v>
      </c>
      <c r="K93" s="9" t="s">
        <v>514</v>
      </c>
      <c r="L93" s="9" t="s">
        <v>153</v>
      </c>
      <c r="M93" s="9" t="s">
        <v>98</v>
      </c>
      <c r="N93" s="16" t="s">
        <v>42</v>
      </c>
      <c r="O93" s="17"/>
      <c r="P93" s="17"/>
      <c r="Q93" s="17"/>
      <c r="R93" s="18"/>
      <c r="S93" s="16"/>
      <c r="T93" s="17"/>
    </row>
    <row r="94" spans="1:20" ht="22.8" x14ac:dyDescent="0.3">
      <c r="A94" s="11" t="s">
        <v>515</v>
      </c>
      <c r="B94" s="9" t="s">
        <v>46</v>
      </c>
      <c r="C94" s="15" t="s">
        <v>490</v>
      </c>
      <c r="D94" s="15" t="s">
        <v>200</v>
      </c>
      <c r="E94" s="15" t="s">
        <v>508</v>
      </c>
      <c r="F94" s="15" t="s">
        <v>516</v>
      </c>
      <c r="G94" s="15" t="s">
        <v>517</v>
      </c>
      <c r="H94" s="9" t="s">
        <v>52</v>
      </c>
      <c r="I94" s="15" t="s">
        <v>518</v>
      </c>
      <c r="J94" s="15" t="s">
        <v>519</v>
      </c>
      <c r="K94" s="9"/>
      <c r="L94" s="9" t="s">
        <v>97</v>
      </c>
      <c r="M94" s="9" t="s">
        <v>106</v>
      </c>
      <c r="N94" s="16" t="s">
        <v>42</v>
      </c>
      <c r="O94" s="17"/>
      <c r="P94" s="17"/>
      <c r="Q94" s="17"/>
      <c r="R94" s="18"/>
      <c r="S94" s="16"/>
      <c r="T94" s="17"/>
    </row>
    <row r="95" spans="1:20" ht="22.8" x14ac:dyDescent="0.3">
      <c r="A95" s="11" t="s">
        <v>520</v>
      </c>
      <c r="B95" s="9" t="s">
        <v>46</v>
      </c>
      <c r="C95" s="15" t="s">
        <v>490</v>
      </c>
      <c r="D95" s="15" t="s">
        <v>187</v>
      </c>
      <c r="E95" s="15" t="s">
        <v>95</v>
      </c>
      <c r="F95" s="15" t="s">
        <v>521</v>
      </c>
      <c r="G95" s="15" t="s">
        <v>522</v>
      </c>
      <c r="H95" s="9" t="s">
        <v>53</v>
      </c>
      <c r="I95" s="15" t="s">
        <v>523</v>
      </c>
      <c r="J95" s="15" t="s">
        <v>524</v>
      </c>
      <c r="K95" s="9" t="s">
        <v>152</v>
      </c>
      <c r="L95" s="9" t="s">
        <v>153</v>
      </c>
      <c r="M95" s="9" t="s">
        <v>106</v>
      </c>
      <c r="N95" s="16" t="s">
        <v>42</v>
      </c>
      <c r="O95" s="17"/>
      <c r="P95" s="17"/>
      <c r="Q95" s="17"/>
      <c r="R95" s="18"/>
      <c r="S95" s="16"/>
      <c r="T95" s="17"/>
    </row>
    <row r="96" spans="1:20" ht="22.8" x14ac:dyDescent="0.3">
      <c r="A96" s="11" t="s">
        <v>525</v>
      </c>
      <c r="B96" s="9" t="s">
        <v>46</v>
      </c>
      <c r="C96" s="15" t="s">
        <v>490</v>
      </c>
      <c r="D96" s="15" t="s">
        <v>200</v>
      </c>
      <c r="E96" s="15" t="s">
        <v>526</v>
      </c>
      <c r="F96" s="15" t="s">
        <v>527</v>
      </c>
      <c r="G96" s="15" t="s">
        <v>528</v>
      </c>
      <c r="H96" s="9" t="s">
        <v>53</v>
      </c>
      <c r="I96" s="15" t="s">
        <v>95</v>
      </c>
      <c r="J96" s="15" t="s">
        <v>128</v>
      </c>
      <c r="K96" s="9"/>
      <c r="L96" s="9" t="s">
        <v>97</v>
      </c>
      <c r="M96" s="9" t="s">
        <v>106</v>
      </c>
      <c r="N96" s="16" t="s">
        <v>42</v>
      </c>
      <c r="O96" s="17"/>
      <c r="P96" s="17"/>
      <c r="Q96" s="17"/>
      <c r="R96" s="18"/>
      <c r="S96" s="16"/>
      <c r="T96" s="17"/>
    </row>
    <row r="97" spans="1:20" ht="57" x14ac:dyDescent="0.3">
      <c r="A97" s="11" t="s">
        <v>529</v>
      </c>
      <c r="B97" s="9" t="s">
        <v>46</v>
      </c>
      <c r="C97" s="15" t="s">
        <v>530</v>
      </c>
      <c r="D97" s="15" t="s">
        <v>200</v>
      </c>
      <c r="E97" s="15" t="s">
        <v>531</v>
      </c>
      <c r="F97" s="15" t="s">
        <v>532</v>
      </c>
      <c r="G97" s="15" t="s">
        <v>533</v>
      </c>
      <c r="H97" s="9" t="s">
        <v>52</v>
      </c>
      <c r="I97" s="15" t="s">
        <v>160</v>
      </c>
      <c r="J97" s="15" t="s">
        <v>160</v>
      </c>
      <c r="K97" s="9"/>
      <c r="L97" s="9" t="s">
        <v>97</v>
      </c>
      <c r="M97" s="9" t="s">
        <v>106</v>
      </c>
      <c r="N97" s="16" t="s">
        <v>42</v>
      </c>
      <c r="O97" s="17"/>
      <c r="P97" s="17"/>
      <c r="Q97" s="17"/>
      <c r="R97" s="18"/>
      <c r="S97" s="16"/>
      <c r="T97" s="17"/>
    </row>
    <row r="98" spans="1:20" ht="22.8" x14ac:dyDescent="0.3">
      <c r="A98" s="11" t="s">
        <v>534</v>
      </c>
      <c r="B98" s="9" t="s">
        <v>46</v>
      </c>
      <c r="C98" s="15" t="s">
        <v>530</v>
      </c>
      <c r="D98" s="15" t="s">
        <v>200</v>
      </c>
      <c r="E98" s="15" t="s">
        <v>95</v>
      </c>
      <c r="F98" s="15" t="s">
        <v>535</v>
      </c>
      <c r="G98" s="15" t="s">
        <v>536</v>
      </c>
      <c r="H98" s="9" t="s">
        <v>53</v>
      </c>
      <c r="I98" s="15" t="s">
        <v>95</v>
      </c>
      <c r="J98" s="15" t="s">
        <v>128</v>
      </c>
      <c r="K98" s="9"/>
      <c r="L98" s="9" t="s">
        <v>97</v>
      </c>
      <c r="M98" s="9" t="s">
        <v>106</v>
      </c>
      <c r="N98" s="16" t="s">
        <v>42</v>
      </c>
      <c r="O98" s="17"/>
      <c r="P98" s="17"/>
      <c r="Q98" s="17"/>
      <c r="R98" s="18"/>
      <c r="S98" s="16"/>
      <c r="T98" s="17"/>
    </row>
    <row r="99" spans="1:20" ht="22.8" x14ac:dyDescent="0.3">
      <c r="A99" s="11" t="s">
        <v>537</v>
      </c>
      <c r="B99" s="9" t="s">
        <v>46</v>
      </c>
      <c r="C99" s="15" t="s">
        <v>530</v>
      </c>
      <c r="D99" s="15" t="s">
        <v>200</v>
      </c>
      <c r="E99" s="15" t="s">
        <v>95</v>
      </c>
      <c r="F99" s="15" t="s">
        <v>538</v>
      </c>
      <c r="G99" s="15" t="s">
        <v>539</v>
      </c>
      <c r="H99" s="9" t="s">
        <v>53</v>
      </c>
      <c r="I99" s="15" t="s">
        <v>95</v>
      </c>
      <c r="J99" s="15" t="s">
        <v>128</v>
      </c>
      <c r="K99" s="9"/>
      <c r="L99" s="9" t="s">
        <v>97</v>
      </c>
      <c r="M99" s="9" t="s">
        <v>106</v>
      </c>
      <c r="N99" s="16" t="s">
        <v>42</v>
      </c>
      <c r="O99" s="17"/>
      <c r="P99" s="17"/>
      <c r="Q99" s="17"/>
      <c r="R99" s="18"/>
      <c r="S99" s="16"/>
      <c r="T99" s="17"/>
    </row>
    <row r="100" spans="1:20" ht="34.200000000000003" x14ac:dyDescent="0.3">
      <c r="A100" s="11" t="s">
        <v>540</v>
      </c>
      <c r="B100" s="9" t="s">
        <v>46</v>
      </c>
      <c r="C100" s="15" t="s">
        <v>530</v>
      </c>
      <c r="D100" s="15" t="s">
        <v>200</v>
      </c>
      <c r="E100" s="15" t="s">
        <v>541</v>
      </c>
      <c r="F100" s="15" t="s">
        <v>542</v>
      </c>
      <c r="G100" s="15" t="s">
        <v>543</v>
      </c>
      <c r="H100" s="9" t="s">
        <v>52</v>
      </c>
      <c r="I100" s="15" t="s">
        <v>544</v>
      </c>
      <c r="J100" s="15" t="s">
        <v>544</v>
      </c>
      <c r="K100" s="9"/>
      <c r="L100" s="9" t="s">
        <v>97</v>
      </c>
      <c r="M100" s="9" t="s">
        <v>106</v>
      </c>
      <c r="N100" s="16" t="s">
        <v>42</v>
      </c>
      <c r="O100" s="17"/>
      <c r="P100" s="17"/>
      <c r="Q100" s="17"/>
      <c r="R100" s="18"/>
      <c r="S100" s="16"/>
      <c r="T100" s="17"/>
    </row>
    <row r="101" spans="1:20" ht="45.6" x14ac:dyDescent="0.3">
      <c r="A101" s="11" t="s">
        <v>545</v>
      </c>
      <c r="B101" s="9" t="s">
        <v>46</v>
      </c>
      <c r="C101" s="15" t="s">
        <v>530</v>
      </c>
      <c r="D101" s="15" t="s">
        <v>200</v>
      </c>
      <c r="E101" s="15" t="s">
        <v>546</v>
      </c>
      <c r="F101" s="15" t="s">
        <v>547</v>
      </c>
      <c r="G101" s="15" t="s">
        <v>548</v>
      </c>
      <c r="H101" s="9" t="s">
        <v>52</v>
      </c>
      <c r="I101" s="15" t="s">
        <v>544</v>
      </c>
      <c r="J101" s="15" t="s">
        <v>544</v>
      </c>
      <c r="K101" s="9"/>
      <c r="L101" s="9" t="s">
        <v>97</v>
      </c>
      <c r="M101" s="9" t="s">
        <v>106</v>
      </c>
      <c r="N101" s="16" t="s">
        <v>42</v>
      </c>
      <c r="O101" s="17"/>
      <c r="P101" s="17"/>
      <c r="Q101" s="17"/>
      <c r="R101" s="18"/>
      <c r="S101" s="16"/>
      <c r="T101" s="17"/>
    </row>
    <row r="102" spans="1:20" ht="22.8" x14ac:dyDescent="0.3">
      <c r="A102" s="11" t="s">
        <v>549</v>
      </c>
      <c r="B102" s="9" t="s">
        <v>46</v>
      </c>
      <c r="C102" s="15" t="s">
        <v>530</v>
      </c>
      <c r="D102" s="15" t="s">
        <v>200</v>
      </c>
      <c r="E102" s="15" t="s">
        <v>550</v>
      </c>
      <c r="F102" s="15" t="s">
        <v>551</v>
      </c>
      <c r="G102" s="15" t="s">
        <v>552</v>
      </c>
      <c r="H102" s="9" t="s">
        <v>52</v>
      </c>
      <c r="I102" s="15" t="s">
        <v>544</v>
      </c>
      <c r="J102" s="15" t="s">
        <v>544</v>
      </c>
      <c r="K102" s="9"/>
      <c r="L102" s="9" t="s">
        <v>97</v>
      </c>
      <c r="M102" s="9" t="s">
        <v>106</v>
      </c>
      <c r="N102" s="16" t="s">
        <v>42</v>
      </c>
      <c r="O102" s="17"/>
      <c r="P102" s="17"/>
      <c r="Q102" s="17"/>
      <c r="R102" s="18"/>
      <c r="S102" s="16"/>
      <c r="T102" s="17"/>
    </row>
    <row r="103" spans="1:20" ht="22.8" x14ac:dyDescent="0.3">
      <c r="A103" s="11" t="s">
        <v>553</v>
      </c>
      <c r="B103" s="9" t="s">
        <v>46</v>
      </c>
      <c r="C103" s="15" t="s">
        <v>530</v>
      </c>
      <c r="D103" s="15" t="s">
        <v>200</v>
      </c>
      <c r="E103" s="15" t="s">
        <v>95</v>
      </c>
      <c r="F103" s="15" t="s">
        <v>554</v>
      </c>
      <c r="G103" s="15" t="s">
        <v>555</v>
      </c>
      <c r="H103" s="9" t="s">
        <v>53</v>
      </c>
      <c r="I103" s="15" t="s">
        <v>95</v>
      </c>
      <c r="J103" s="15" t="s">
        <v>128</v>
      </c>
      <c r="K103" s="9"/>
      <c r="L103" s="9" t="s">
        <v>97</v>
      </c>
      <c r="M103" s="9" t="s">
        <v>106</v>
      </c>
      <c r="N103" s="16" t="s">
        <v>42</v>
      </c>
      <c r="O103" s="17"/>
      <c r="P103" s="17"/>
      <c r="Q103" s="17"/>
      <c r="R103" s="18"/>
      <c r="S103" s="16"/>
      <c r="T103" s="17"/>
    </row>
    <row r="104" spans="1:20" ht="22.8" x14ac:dyDescent="0.3">
      <c r="A104" s="11" t="s">
        <v>556</v>
      </c>
      <c r="B104" s="9" t="s">
        <v>46</v>
      </c>
      <c r="C104" s="15" t="s">
        <v>530</v>
      </c>
      <c r="D104" s="15" t="s">
        <v>200</v>
      </c>
      <c r="E104" s="15" t="s">
        <v>95</v>
      </c>
      <c r="F104" s="15" t="s">
        <v>557</v>
      </c>
      <c r="G104" s="15" t="s">
        <v>558</v>
      </c>
      <c r="H104" s="9" t="s">
        <v>52</v>
      </c>
      <c r="I104" s="15" t="s">
        <v>559</v>
      </c>
      <c r="J104" s="15" t="s">
        <v>559</v>
      </c>
      <c r="K104" s="9" t="s">
        <v>560</v>
      </c>
      <c r="L104" s="9" t="s">
        <v>153</v>
      </c>
      <c r="M104" s="9" t="s">
        <v>106</v>
      </c>
      <c r="N104" s="16" t="s">
        <v>42</v>
      </c>
      <c r="O104" s="17"/>
      <c r="P104" s="17"/>
      <c r="Q104" s="17"/>
      <c r="R104" s="18"/>
      <c r="S104" s="16"/>
      <c r="T104" s="17"/>
    </row>
    <row r="105" spans="1:20" ht="34.200000000000003" x14ac:dyDescent="0.3">
      <c r="A105" s="11" t="s">
        <v>561</v>
      </c>
      <c r="B105" s="9" t="s">
        <v>46</v>
      </c>
      <c r="C105" s="15" t="s">
        <v>530</v>
      </c>
      <c r="D105" s="15" t="s">
        <v>95</v>
      </c>
      <c r="E105" s="15" t="s">
        <v>95</v>
      </c>
      <c r="F105" s="15" t="s">
        <v>562</v>
      </c>
      <c r="G105" s="15" t="s">
        <v>563</v>
      </c>
      <c r="H105" s="9" t="s">
        <v>52</v>
      </c>
      <c r="I105" s="15" t="s">
        <v>110</v>
      </c>
      <c r="J105" s="15" t="s">
        <v>110</v>
      </c>
      <c r="K105" s="9"/>
      <c r="L105" s="9" t="s">
        <v>97</v>
      </c>
      <c r="M105" s="9" t="s">
        <v>106</v>
      </c>
      <c r="N105" s="16" t="s">
        <v>40</v>
      </c>
      <c r="O105" s="17" t="s">
        <v>564</v>
      </c>
      <c r="P105" s="17"/>
      <c r="Q105" s="17" t="s">
        <v>100</v>
      </c>
      <c r="R105" s="18">
        <v>46302</v>
      </c>
      <c r="S105" s="16" t="s">
        <v>101</v>
      </c>
      <c r="T105" s="17" t="s">
        <v>565</v>
      </c>
    </row>
    <row r="106" spans="1:20" ht="45.6" x14ac:dyDescent="0.3">
      <c r="A106" s="11" t="s">
        <v>566</v>
      </c>
      <c r="B106" s="9" t="s">
        <v>46</v>
      </c>
      <c r="C106" s="15" t="s">
        <v>567</v>
      </c>
      <c r="D106" s="15" t="s">
        <v>95</v>
      </c>
      <c r="E106" s="15" t="s">
        <v>568</v>
      </c>
      <c r="F106" s="15" t="s">
        <v>569</v>
      </c>
      <c r="G106" s="15" t="s">
        <v>570</v>
      </c>
      <c r="H106" s="9" t="s">
        <v>52</v>
      </c>
      <c r="I106" s="15" t="s">
        <v>160</v>
      </c>
      <c r="J106" s="15" t="s">
        <v>160</v>
      </c>
      <c r="K106" s="9"/>
      <c r="L106" s="9" t="s">
        <v>97</v>
      </c>
      <c r="M106" s="9" t="s">
        <v>106</v>
      </c>
      <c r="N106" s="16" t="s">
        <v>38</v>
      </c>
      <c r="O106" s="17" t="s">
        <v>571</v>
      </c>
      <c r="P106" s="17" t="s">
        <v>572</v>
      </c>
      <c r="Q106" s="17" t="s">
        <v>100</v>
      </c>
      <c r="R106" s="18">
        <v>46302</v>
      </c>
      <c r="S106" s="16" t="s">
        <v>101</v>
      </c>
      <c r="T106" s="17" t="s">
        <v>573</v>
      </c>
    </row>
    <row r="107" spans="1:20" ht="34.200000000000003" x14ac:dyDescent="0.3">
      <c r="A107" s="11" t="s">
        <v>574</v>
      </c>
      <c r="B107" s="9" t="s">
        <v>46</v>
      </c>
      <c r="C107" s="15" t="s">
        <v>567</v>
      </c>
      <c r="D107" s="15" t="s">
        <v>95</v>
      </c>
      <c r="E107" s="15" t="s">
        <v>95</v>
      </c>
      <c r="F107" s="15" t="s">
        <v>575</v>
      </c>
      <c r="G107" s="15" t="s">
        <v>576</v>
      </c>
      <c r="H107" s="9" t="s">
        <v>52</v>
      </c>
      <c r="I107" s="15" t="s">
        <v>160</v>
      </c>
      <c r="J107" s="15" t="s">
        <v>160</v>
      </c>
      <c r="K107" s="9"/>
      <c r="L107" s="9" t="s">
        <v>97</v>
      </c>
      <c r="M107" s="9" t="s">
        <v>106</v>
      </c>
      <c r="N107" s="16" t="s">
        <v>38</v>
      </c>
      <c r="O107" s="17" t="s">
        <v>577</v>
      </c>
      <c r="P107" s="17"/>
      <c r="Q107" s="17" t="s">
        <v>100</v>
      </c>
      <c r="R107" s="18">
        <v>46302</v>
      </c>
      <c r="S107" s="16" t="s">
        <v>101</v>
      </c>
      <c r="T107" s="17"/>
    </row>
    <row r="108" spans="1:20" ht="22.8" x14ac:dyDescent="0.3">
      <c r="A108" s="11" t="s">
        <v>578</v>
      </c>
      <c r="B108" s="9" t="s">
        <v>46</v>
      </c>
      <c r="C108" s="15" t="s">
        <v>567</v>
      </c>
      <c r="D108" s="15" t="s">
        <v>579</v>
      </c>
      <c r="E108" s="15" t="s">
        <v>95</v>
      </c>
      <c r="F108" s="15" t="s">
        <v>580</v>
      </c>
      <c r="G108" s="15" t="s">
        <v>581</v>
      </c>
      <c r="H108" s="9" t="s">
        <v>52</v>
      </c>
      <c r="I108" s="15" t="s">
        <v>582</v>
      </c>
      <c r="J108" s="15" t="s">
        <v>524</v>
      </c>
      <c r="K108" s="9"/>
      <c r="L108" s="9" t="s">
        <v>97</v>
      </c>
      <c r="M108" s="9" t="s">
        <v>106</v>
      </c>
      <c r="N108" s="16" t="s">
        <v>42</v>
      </c>
      <c r="O108" s="17"/>
      <c r="P108" s="17"/>
      <c r="Q108" s="17"/>
      <c r="R108" s="18"/>
      <c r="S108" s="16"/>
      <c r="T108" s="17"/>
    </row>
    <row r="109" spans="1:20" ht="34.200000000000003" x14ac:dyDescent="0.3">
      <c r="A109" s="11" t="s">
        <v>583</v>
      </c>
      <c r="B109" s="9" t="s">
        <v>46</v>
      </c>
      <c r="C109" s="15" t="s">
        <v>567</v>
      </c>
      <c r="D109" s="15" t="s">
        <v>579</v>
      </c>
      <c r="E109" s="15" t="s">
        <v>578</v>
      </c>
      <c r="F109" s="15" t="s">
        <v>584</v>
      </c>
      <c r="G109" s="15" t="s">
        <v>585</v>
      </c>
      <c r="H109" s="9" t="s">
        <v>52</v>
      </c>
      <c r="I109" s="15" t="s">
        <v>160</v>
      </c>
      <c r="J109" s="15" t="s">
        <v>160</v>
      </c>
      <c r="K109" s="9"/>
      <c r="L109" s="9" t="s">
        <v>97</v>
      </c>
      <c r="M109" s="9" t="s">
        <v>106</v>
      </c>
      <c r="N109" s="16" t="s">
        <v>42</v>
      </c>
      <c r="O109" s="17"/>
      <c r="P109" s="17"/>
      <c r="Q109" s="17"/>
      <c r="R109" s="18"/>
      <c r="S109" s="16"/>
      <c r="T109" s="17"/>
    </row>
    <row r="110" spans="1:20" ht="22.8" x14ac:dyDescent="0.3">
      <c r="A110" s="11" t="s">
        <v>586</v>
      </c>
      <c r="B110" s="9" t="s">
        <v>46</v>
      </c>
      <c r="C110" s="15" t="s">
        <v>567</v>
      </c>
      <c r="D110" s="15" t="s">
        <v>579</v>
      </c>
      <c r="E110" s="15" t="s">
        <v>95</v>
      </c>
      <c r="F110" s="15" t="s">
        <v>587</v>
      </c>
      <c r="G110" s="15" t="s">
        <v>588</v>
      </c>
      <c r="H110" s="9" t="s">
        <v>53</v>
      </c>
      <c r="I110" s="15" t="s">
        <v>95</v>
      </c>
      <c r="J110" s="15" t="s">
        <v>128</v>
      </c>
      <c r="K110" s="9"/>
      <c r="L110" s="9" t="s">
        <v>97</v>
      </c>
      <c r="M110" s="9" t="s">
        <v>106</v>
      </c>
      <c r="N110" s="16" t="s">
        <v>42</v>
      </c>
      <c r="O110" s="17"/>
      <c r="P110" s="17"/>
      <c r="Q110" s="17"/>
      <c r="R110" s="18"/>
      <c r="S110" s="16"/>
      <c r="T110" s="17"/>
    </row>
    <row r="111" spans="1:20" ht="22.8" x14ac:dyDescent="0.3">
      <c r="A111" s="11" t="s">
        <v>589</v>
      </c>
      <c r="B111" s="9" t="s">
        <v>46</v>
      </c>
      <c r="C111" s="15" t="s">
        <v>567</v>
      </c>
      <c r="D111" s="15" t="s">
        <v>579</v>
      </c>
      <c r="E111" s="15" t="s">
        <v>95</v>
      </c>
      <c r="F111" s="15" t="s">
        <v>590</v>
      </c>
      <c r="G111" s="15" t="s">
        <v>591</v>
      </c>
      <c r="H111" s="9" t="s">
        <v>52</v>
      </c>
      <c r="I111" s="15" t="s">
        <v>592</v>
      </c>
      <c r="J111" s="15" t="s">
        <v>593</v>
      </c>
      <c r="K111" s="9"/>
      <c r="L111" s="9" t="s">
        <v>97</v>
      </c>
      <c r="M111" s="9" t="s">
        <v>106</v>
      </c>
      <c r="N111" s="16" t="s">
        <v>42</v>
      </c>
      <c r="O111" s="17"/>
      <c r="P111" s="17"/>
      <c r="Q111" s="17"/>
      <c r="R111" s="18"/>
      <c r="S111" s="16"/>
      <c r="T111" s="17"/>
    </row>
    <row r="112" spans="1:20" ht="34.200000000000003" x14ac:dyDescent="0.3">
      <c r="A112" s="11" t="s">
        <v>594</v>
      </c>
      <c r="B112" s="9" t="s">
        <v>46</v>
      </c>
      <c r="C112" s="15" t="s">
        <v>567</v>
      </c>
      <c r="D112" s="15" t="s">
        <v>579</v>
      </c>
      <c r="E112" s="15" t="s">
        <v>95</v>
      </c>
      <c r="F112" s="15" t="s">
        <v>595</v>
      </c>
      <c r="G112" s="15" t="s">
        <v>596</v>
      </c>
      <c r="H112" s="9" t="s">
        <v>52</v>
      </c>
      <c r="I112" s="15" t="s">
        <v>597</v>
      </c>
      <c r="J112" s="15" t="s">
        <v>128</v>
      </c>
      <c r="K112" s="9" t="s">
        <v>598</v>
      </c>
      <c r="L112" s="9" t="s">
        <v>153</v>
      </c>
      <c r="M112" s="9" t="s">
        <v>106</v>
      </c>
      <c r="N112" s="16" t="s">
        <v>42</v>
      </c>
      <c r="O112" s="17"/>
      <c r="P112" s="17"/>
      <c r="Q112" s="17"/>
      <c r="R112" s="18"/>
      <c r="S112" s="16"/>
      <c r="T112" s="17"/>
    </row>
    <row r="113" spans="1:20" ht="22.8" x14ac:dyDescent="0.3">
      <c r="A113" s="11" t="s">
        <v>599</v>
      </c>
      <c r="B113" s="9" t="s">
        <v>46</v>
      </c>
      <c r="C113" s="15" t="s">
        <v>567</v>
      </c>
      <c r="D113" s="15" t="s">
        <v>579</v>
      </c>
      <c r="E113" s="15" t="s">
        <v>95</v>
      </c>
      <c r="F113" s="15" t="s">
        <v>600</v>
      </c>
      <c r="G113" s="15" t="s">
        <v>601</v>
      </c>
      <c r="H113" s="9" t="s">
        <v>53</v>
      </c>
      <c r="I113" s="15" t="s">
        <v>95</v>
      </c>
      <c r="J113" s="15" t="s">
        <v>128</v>
      </c>
      <c r="K113" s="9"/>
      <c r="L113" s="9" t="s">
        <v>97</v>
      </c>
      <c r="M113" s="9" t="s">
        <v>106</v>
      </c>
      <c r="N113" s="16" t="s">
        <v>42</v>
      </c>
      <c r="O113" s="17"/>
      <c r="P113" s="17"/>
      <c r="Q113" s="17"/>
      <c r="R113" s="18"/>
      <c r="S113" s="16"/>
      <c r="T113" s="17"/>
    </row>
    <row r="114" spans="1:20" ht="22.8" x14ac:dyDescent="0.3">
      <c r="A114" s="11" t="s">
        <v>602</v>
      </c>
      <c r="B114" s="9" t="s">
        <v>46</v>
      </c>
      <c r="C114" s="15" t="s">
        <v>567</v>
      </c>
      <c r="D114" s="15" t="s">
        <v>579</v>
      </c>
      <c r="E114" s="15" t="s">
        <v>95</v>
      </c>
      <c r="F114" s="15" t="s">
        <v>603</v>
      </c>
      <c r="G114" s="15" t="s">
        <v>604</v>
      </c>
      <c r="H114" s="9" t="s">
        <v>53</v>
      </c>
      <c r="I114" s="15" t="s">
        <v>95</v>
      </c>
      <c r="J114" s="15" t="s">
        <v>128</v>
      </c>
      <c r="K114" s="9"/>
      <c r="L114" s="9" t="s">
        <v>97</v>
      </c>
      <c r="M114" s="9" t="s">
        <v>106</v>
      </c>
      <c r="N114" s="16" t="s">
        <v>42</v>
      </c>
      <c r="O114" s="17"/>
      <c r="P114" s="17"/>
      <c r="Q114" s="17"/>
      <c r="R114" s="18"/>
      <c r="S114" s="16"/>
      <c r="T114" s="17"/>
    </row>
    <row r="115" spans="1:20" ht="22.8" x14ac:dyDescent="0.3">
      <c r="A115" s="11" t="s">
        <v>605</v>
      </c>
      <c r="B115" s="9" t="s">
        <v>46</v>
      </c>
      <c r="C115" s="15" t="s">
        <v>606</v>
      </c>
      <c r="D115" s="15" t="s">
        <v>180</v>
      </c>
      <c r="E115" s="15" t="s">
        <v>95</v>
      </c>
      <c r="F115" s="15" t="s">
        <v>280</v>
      </c>
      <c r="G115" s="15" t="s">
        <v>607</v>
      </c>
      <c r="H115" s="9" t="s">
        <v>52</v>
      </c>
      <c r="I115" s="15" t="s">
        <v>190</v>
      </c>
      <c r="J115" s="15" t="s">
        <v>191</v>
      </c>
      <c r="K115" s="9"/>
      <c r="L115" s="9" t="s">
        <v>97</v>
      </c>
      <c r="M115" s="9" t="s">
        <v>106</v>
      </c>
      <c r="N115" s="16" t="s">
        <v>42</v>
      </c>
      <c r="O115" s="17"/>
      <c r="P115" s="17"/>
      <c r="Q115" s="17"/>
      <c r="R115" s="18"/>
      <c r="S115" s="16"/>
      <c r="T115" s="17"/>
    </row>
    <row r="116" spans="1:20" ht="22.8" x14ac:dyDescent="0.3">
      <c r="A116" s="11" t="s">
        <v>608</v>
      </c>
      <c r="B116" s="9" t="s">
        <v>46</v>
      </c>
      <c r="C116" s="15" t="s">
        <v>606</v>
      </c>
      <c r="D116" s="15" t="s">
        <v>187</v>
      </c>
      <c r="E116" s="15" t="s">
        <v>95</v>
      </c>
      <c r="F116" s="15" t="s">
        <v>609</v>
      </c>
      <c r="G116" s="15" t="s">
        <v>610</v>
      </c>
      <c r="H116" s="9" t="s">
        <v>53</v>
      </c>
      <c r="I116" s="15" t="s">
        <v>95</v>
      </c>
      <c r="J116" s="15" t="s">
        <v>128</v>
      </c>
      <c r="K116" s="9"/>
      <c r="L116" s="9" t="s">
        <v>97</v>
      </c>
      <c r="M116" s="9" t="s">
        <v>106</v>
      </c>
      <c r="N116" s="16" t="s">
        <v>42</v>
      </c>
      <c r="O116" s="17"/>
      <c r="P116" s="17"/>
      <c r="Q116" s="17"/>
      <c r="R116" s="18"/>
      <c r="S116" s="16"/>
      <c r="T116" s="17"/>
    </row>
    <row r="117" spans="1:20" ht="22.8" x14ac:dyDescent="0.3">
      <c r="A117" s="11" t="s">
        <v>611</v>
      </c>
      <c r="B117" s="9" t="s">
        <v>46</v>
      </c>
      <c r="C117" s="15" t="s">
        <v>606</v>
      </c>
      <c r="D117" s="15" t="s">
        <v>187</v>
      </c>
      <c r="E117" s="15" t="s">
        <v>95</v>
      </c>
      <c r="F117" s="15" t="s">
        <v>612</v>
      </c>
      <c r="G117" s="15" t="s">
        <v>613</v>
      </c>
      <c r="H117" s="9" t="s">
        <v>53</v>
      </c>
      <c r="I117" s="15" t="s">
        <v>286</v>
      </c>
      <c r="J117" s="15" t="s">
        <v>287</v>
      </c>
      <c r="K117" s="9"/>
      <c r="L117" s="9" t="s">
        <v>97</v>
      </c>
      <c r="M117" s="9" t="s">
        <v>106</v>
      </c>
      <c r="N117" s="16" t="s">
        <v>42</v>
      </c>
      <c r="O117" s="17"/>
      <c r="P117" s="17"/>
      <c r="Q117" s="17"/>
      <c r="R117" s="18"/>
      <c r="S117" s="16"/>
      <c r="T117" s="17"/>
    </row>
    <row r="118" spans="1:20" ht="22.8" x14ac:dyDescent="0.3">
      <c r="A118" s="11" t="s">
        <v>614</v>
      </c>
      <c r="B118" s="9" t="s">
        <v>46</v>
      </c>
      <c r="C118" s="15" t="s">
        <v>606</v>
      </c>
      <c r="D118" s="15" t="s">
        <v>187</v>
      </c>
      <c r="E118" s="15" t="s">
        <v>615</v>
      </c>
      <c r="F118" s="15" t="s">
        <v>616</v>
      </c>
      <c r="G118" s="15" t="s">
        <v>617</v>
      </c>
      <c r="H118" s="9" t="s">
        <v>52</v>
      </c>
      <c r="I118" s="15" t="s">
        <v>618</v>
      </c>
      <c r="J118" s="15" t="s">
        <v>185</v>
      </c>
      <c r="K118" s="9"/>
      <c r="L118" s="9" t="s">
        <v>97</v>
      </c>
      <c r="M118" s="9" t="s">
        <v>106</v>
      </c>
      <c r="N118" s="16" t="s">
        <v>42</v>
      </c>
      <c r="O118" s="17"/>
      <c r="P118" s="17"/>
      <c r="Q118" s="17"/>
      <c r="R118" s="18"/>
      <c r="S118" s="16"/>
      <c r="T118" s="17"/>
    </row>
    <row r="119" spans="1:20" ht="22.8" x14ac:dyDescent="0.3">
      <c r="A119" s="11" t="s">
        <v>619</v>
      </c>
      <c r="B119" s="9" t="s">
        <v>46</v>
      </c>
      <c r="C119" s="15" t="s">
        <v>606</v>
      </c>
      <c r="D119" s="15" t="s">
        <v>187</v>
      </c>
      <c r="E119" s="15" t="s">
        <v>620</v>
      </c>
      <c r="F119" s="15" t="s">
        <v>621</v>
      </c>
      <c r="G119" s="15" t="s">
        <v>622</v>
      </c>
      <c r="H119" s="9" t="s">
        <v>53</v>
      </c>
      <c r="I119" s="15" t="s">
        <v>95</v>
      </c>
      <c r="J119" s="15" t="s">
        <v>128</v>
      </c>
      <c r="K119" s="9"/>
      <c r="L119" s="9" t="s">
        <v>97</v>
      </c>
      <c r="M119" s="9" t="s">
        <v>106</v>
      </c>
      <c r="N119" s="16" t="s">
        <v>42</v>
      </c>
      <c r="O119" s="17"/>
      <c r="P119" s="17"/>
      <c r="Q119" s="17"/>
      <c r="R119" s="18"/>
      <c r="S119" s="16"/>
      <c r="T119" s="17"/>
    </row>
    <row r="120" spans="1:20" ht="22.8" x14ac:dyDescent="0.3">
      <c r="A120" s="11" t="s">
        <v>623</v>
      </c>
      <c r="B120" s="9" t="s">
        <v>46</v>
      </c>
      <c r="C120" s="15" t="s">
        <v>606</v>
      </c>
      <c r="D120" s="15" t="s">
        <v>187</v>
      </c>
      <c r="E120" s="15" t="s">
        <v>624</v>
      </c>
      <c r="F120" s="15" t="s">
        <v>625</v>
      </c>
      <c r="G120" s="15" t="s">
        <v>626</v>
      </c>
      <c r="H120" s="9" t="s">
        <v>53</v>
      </c>
      <c r="I120" s="15" t="s">
        <v>136</v>
      </c>
      <c r="J120" s="15" t="s">
        <v>136</v>
      </c>
      <c r="K120" s="9"/>
      <c r="L120" s="9" t="s">
        <v>97</v>
      </c>
      <c r="M120" s="9" t="s">
        <v>106</v>
      </c>
      <c r="N120" s="16" t="s">
        <v>42</v>
      </c>
      <c r="O120" s="17"/>
      <c r="P120" s="17"/>
      <c r="Q120" s="17"/>
      <c r="R120" s="18"/>
      <c r="S120" s="16"/>
      <c r="T120" s="17"/>
    </row>
    <row r="121" spans="1:20" ht="22.8" x14ac:dyDescent="0.3">
      <c r="A121" s="11" t="s">
        <v>627</v>
      </c>
      <c r="B121" s="9" t="s">
        <v>46</v>
      </c>
      <c r="C121" s="15" t="s">
        <v>606</v>
      </c>
      <c r="D121" s="15" t="s">
        <v>187</v>
      </c>
      <c r="E121" s="15" t="s">
        <v>95</v>
      </c>
      <c r="F121" s="15" t="s">
        <v>628</v>
      </c>
      <c r="G121" s="15" t="s">
        <v>629</v>
      </c>
      <c r="H121" s="9" t="s">
        <v>53</v>
      </c>
      <c r="I121" s="15" t="s">
        <v>136</v>
      </c>
      <c r="J121" s="15" t="s">
        <v>136</v>
      </c>
      <c r="K121" s="9"/>
      <c r="L121" s="9" t="s">
        <v>97</v>
      </c>
      <c r="M121" s="9" t="s">
        <v>106</v>
      </c>
      <c r="N121" s="16" t="s">
        <v>42</v>
      </c>
      <c r="O121" s="17"/>
      <c r="P121" s="17"/>
      <c r="Q121" s="17"/>
      <c r="R121" s="18"/>
      <c r="S121" s="16"/>
      <c r="T121" s="17"/>
    </row>
    <row r="122" spans="1:20" ht="22.8" x14ac:dyDescent="0.3">
      <c r="A122" s="11" t="s">
        <v>630</v>
      </c>
      <c r="B122" s="9" t="s">
        <v>46</v>
      </c>
      <c r="C122" s="15" t="s">
        <v>631</v>
      </c>
      <c r="D122" s="15" t="s">
        <v>200</v>
      </c>
      <c r="E122" s="15" t="s">
        <v>632</v>
      </c>
      <c r="F122" s="15" t="s">
        <v>633</v>
      </c>
      <c r="G122" s="15" t="s">
        <v>634</v>
      </c>
      <c r="H122" s="9" t="s">
        <v>52</v>
      </c>
      <c r="I122" s="15" t="s">
        <v>635</v>
      </c>
      <c r="J122" s="15" t="s">
        <v>636</v>
      </c>
      <c r="K122" s="9"/>
      <c r="L122" s="9" t="s">
        <v>97</v>
      </c>
      <c r="M122" s="9" t="s">
        <v>106</v>
      </c>
      <c r="N122" s="16" t="s">
        <v>42</v>
      </c>
      <c r="O122" s="17"/>
      <c r="P122" s="17"/>
      <c r="Q122" s="17"/>
      <c r="R122" s="18"/>
      <c r="S122" s="16"/>
      <c r="T122" s="17"/>
    </row>
    <row r="123" spans="1:20" ht="22.8" x14ac:dyDescent="0.3">
      <c r="A123" s="11" t="s">
        <v>637</v>
      </c>
      <c r="B123" s="9" t="s">
        <v>46</v>
      </c>
      <c r="C123" s="15" t="s">
        <v>631</v>
      </c>
      <c r="D123" s="15" t="s">
        <v>200</v>
      </c>
      <c r="E123" s="15" t="s">
        <v>95</v>
      </c>
      <c r="F123" s="15" t="s">
        <v>638</v>
      </c>
      <c r="G123" s="15" t="s">
        <v>639</v>
      </c>
      <c r="H123" s="9" t="s">
        <v>52</v>
      </c>
      <c r="I123" s="15" t="s">
        <v>640</v>
      </c>
      <c r="J123" s="15" t="s">
        <v>147</v>
      </c>
      <c r="K123" s="9"/>
      <c r="L123" s="9" t="s">
        <v>97</v>
      </c>
      <c r="M123" s="9" t="s">
        <v>106</v>
      </c>
      <c r="N123" s="16" t="s">
        <v>42</v>
      </c>
      <c r="O123" s="17"/>
      <c r="P123" s="17"/>
      <c r="Q123" s="17"/>
      <c r="R123" s="18"/>
      <c r="S123" s="16"/>
      <c r="T123" s="17"/>
    </row>
    <row r="124" spans="1:20" ht="22.8" x14ac:dyDescent="0.3">
      <c r="A124" s="11" t="s">
        <v>641</v>
      </c>
      <c r="B124" s="9" t="s">
        <v>46</v>
      </c>
      <c r="C124" s="15" t="s">
        <v>631</v>
      </c>
      <c r="D124" s="15" t="s">
        <v>642</v>
      </c>
      <c r="E124" s="15" t="s">
        <v>643</v>
      </c>
      <c r="F124" s="15" t="s">
        <v>644</v>
      </c>
      <c r="G124" s="15" t="s">
        <v>645</v>
      </c>
      <c r="H124" s="9" t="s">
        <v>52</v>
      </c>
      <c r="I124" s="15" t="s">
        <v>646</v>
      </c>
      <c r="J124" s="15" t="s">
        <v>646</v>
      </c>
      <c r="K124" s="9"/>
      <c r="L124" s="9" t="s">
        <v>97</v>
      </c>
      <c r="M124" s="9" t="s">
        <v>106</v>
      </c>
      <c r="N124" s="16" t="s">
        <v>42</v>
      </c>
      <c r="O124" s="17"/>
      <c r="P124" s="17"/>
      <c r="Q124" s="17"/>
      <c r="R124" s="18"/>
      <c r="S124" s="16"/>
      <c r="T124" s="17"/>
    </row>
    <row r="125" spans="1:20" ht="22.8" x14ac:dyDescent="0.3">
      <c r="A125" s="11" t="s">
        <v>647</v>
      </c>
      <c r="B125" s="9" t="s">
        <v>46</v>
      </c>
      <c r="C125" s="15" t="s">
        <v>631</v>
      </c>
      <c r="D125" s="15" t="s">
        <v>200</v>
      </c>
      <c r="E125" s="15" t="s">
        <v>648</v>
      </c>
      <c r="F125" s="15" t="s">
        <v>649</v>
      </c>
      <c r="G125" s="15" t="s">
        <v>650</v>
      </c>
      <c r="H125" s="9" t="s">
        <v>52</v>
      </c>
      <c r="I125" s="15" t="s">
        <v>646</v>
      </c>
      <c r="J125" s="15" t="s">
        <v>646</v>
      </c>
      <c r="K125" s="9"/>
      <c r="L125" s="9" t="s">
        <v>97</v>
      </c>
      <c r="M125" s="9" t="s">
        <v>106</v>
      </c>
      <c r="N125" s="16" t="s">
        <v>42</v>
      </c>
      <c r="O125" s="17"/>
      <c r="P125" s="17"/>
      <c r="Q125" s="17"/>
      <c r="R125" s="18"/>
      <c r="S125" s="16"/>
      <c r="T125" s="17"/>
    </row>
    <row r="126" spans="1:20" ht="22.8" x14ac:dyDescent="0.3">
      <c r="A126" s="11" t="s">
        <v>651</v>
      </c>
      <c r="B126" s="9" t="s">
        <v>46</v>
      </c>
      <c r="C126" s="15" t="s">
        <v>631</v>
      </c>
      <c r="D126" s="15" t="s">
        <v>200</v>
      </c>
      <c r="E126" s="15" t="s">
        <v>95</v>
      </c>
      <c r="F126" s="15" t="s">
        <v>652</v>
      </c>
      <c r="G126" s="15" t="s">
        <v>653</v>
      </c>
      <c r="H126" s="9" t="s">
        <v>53</v>
      </c>
      <c r="I126" s="15" t="s">
        <v>95</v>
      </c>
      <c r="J126" s="15" t="s">
        <v>128</v>
      </c>
      <c r="K126" s="9"/>
      <c r="L126" s="9" t="s">
        <v>97</v>
      </c>
      <c r="M126" s="9" t="s">
        <v>106</v>
      </c>
      <c r="N126" s="16" t="s">
        <v>42</v>
      </c>
      <c r="O126" s="17"/>
      <c r="P126" s="17"/>
      <c r="Q126" s="17"/>
      <c r="R126" s="18"/>
      <c r="S126" s="16"/>
      <c r="T126" s="17"/>
    </row>
    <row r="127" spans="1:20" ht="22.8" x14ac:dyDescent="0.3">
      <c r="A127" s="11" t="s">
        <v>654</v>
      </c>
      <c r="B127" s="9" t="s">
        <v>46</v>
      </c>
      <c r="C127" s="15" t="s">
        <v>631</v>
      </c>
      <c r="D127" s="15" t="s">
        <v>200</v>
      </c>
      <c r="E127" s="15" t="s">
        <v>95</v>
      </c>
      <c r="F127" s="15" t="s">
        <v>655</v>
      </c>
      <c r="G127" s="15" t="s">
        <v>656</v>
      </c>
      <c r="H127" s="9" t="s">
        <v>53</v>
      </c>
      <c r="I127" s="15" t="s">
        <v>95</v>
      </c>
      <c r="J127" s="15" t="s">
        <v>128</v>
      </c>
      <c r="K127" s="9"/>
      <c r="L127" s="9" t="s">
        <v>97</v>
      </c>
      <c r="M127" s="9" t="s">
        <v>106</v>
      </c>
      <c r="N127" s="16" t="s">
        <v>42</v>
      </c>
      <c r="O127" s="17"/>
      <c r="P127" s="17"/>
      <c r="Q127" s="17"/>
      <c r="R127" s="18"/>
      <c r="S127" s="16"/>
      <c r="T127" s="17"/>
    </row>
    <row r="128" spans="1:20" ht="22.8" x14ac:dyDescent="0.3">
      <c r="A128" s="11" t="s">
        <v>657</v>
      </c>
      <c r="B128" s="9" t="s">
        <v>46</v>
      </c>
      <c r="C128" s="15" t="s">
        <v>631</v>
      </c>
      <c r="D128" s="15" t="s">
        <v>200</v>
      </c>
      <c r="E128" s="15" t="s">
        <v>658</v>
      </c>
      <c r="F128" s="15" t="s">
        <v>659</v>
      </c>
      <c r="G128" s="15" t="s">
        <v>660</v>
      </c>
      <c r="H128" s="9" t="s">
        <v>53</v>
      </c>
      <c r="I128" s="15" t="s">
        <v>321</v>
      </c>
      <c r="J128" s="15" t="s">
        <v>321</v>
      </c>
      <c r="K128" s="9"/>
      <c r="L128" s="9" t="s">
        <v>97</v>
      </c>
      <c r="M128" s="9" t="s">
        <v>106</v>
      </c>
      <c r="N128" s="16" t="s">
        <v>42</v>
      </c>
      <c r="O128" s="17"/>
      <c r="P128" s="17"/>
      <c r="Q128" s="17"/>
      <c r="R128" s="18"/>
      <c r="S128" s="16"/>
      <c r="T128" s="17"/>
    </row>
    <row r="129" spans="1:20" ht="45.6" x14ac:dyDescent="0.3">
      <c r="A129" s="11" t="s">
        <v>661</v>
      </c>
      <c r="B129" s="9" t="s">
        <v>46</v>
      </c>
      <c r="C129" s="15" t="s">
        <v>631</v>
      </c>
      <c r="D129" s="15" t="s">
        <v>200</v>
      </c>
      <c r="E129" s="15" t="s">
        <v>95</v>
      </c>
      <c r="F129" s="15" t="s">
        <v>662</v>
      </c>
      <c r="G129" s="15" t="s">
        <v>663</v>
      </c>
      <c r="H129" s="9" t="s">
        <v>53</v>
      </c>
      <c r="I129" s="15" t="s">
        <v>664</v>
      </c>
      <c r="J129" s="15" t="s">
        <v>665</v>
      </c>
      <c r="K129" s="9" t="s">
        <v>666</v>
      </c>
      <c r="L129" s="9" t="s">
        <v>153</v>
      </c>
      <c r="M129" s="9" t="s">
        <v>106</v>
      </c>
      <c r="N129" s="16" t="s">
        <v>42</v>
      </c>
      <c r="O129" s="17"/>
      <c r="P129" s="17"/>
      <c r="Q129" s="17"/>
      <c r="R129" s="18"/>
      <c r="S129" s="16"/>
      <c r="T129" s="17"/>
    </row>
    <row r="130" spans="1:20" ht="57" x14ac:dyDescent="0.3">
      <c r="A130" s="11" t="s">
        <v>667</v>
      </c>
      <c r="B130" s="9" t="s">
        <v>46</v>
      </c>
      <c r="C130" s="15" t="s">
        <v>631</v>
      </c>
      <c r="D130" s="15" t="s">
        <v>668</v>
      </c>
      <c r="E130" s="15" t="s">
        <v>669</v>
      </c>
      <c r="F130" s="15" t="s">
        <v>670</v>
      </c>
      <c r="G130" s="15" t="s">
        <v>671</v>
      </c>
      <c r="H130" s="9" t="s">
        <v>52</v>
      </c>
      <c r="I130" s="15" t="s">
        <v>672</v>
      </c>
      <c r="J130" s="15" t="s">
        <v>672</v>
      </c>
      <c r="K130" s="9" t="s">
        <v>673</v>
      </c>
      <c r="L130" s="9" t="s">
        <v>153</v>
      </c>
      <c r="M130" s="9" t="s">
        <v>106</v>
      </c>
      <c r="N130" s="16" t="s">
        <v>42</v>
      </c>
      <c r="O130" s="17"/>
      <c r="P130" s="17"/>
      <c r="Q130" s="17"/>
      <c r="R130" s="18"/>
      <c r="S130" s="16"/>
      <c r="T130" s="17"/>
    </row>
    <row r="131" spans="1:20" ht="68.400000000000006" x14ac:dyDescent="0.3">
      <c r="A131" s="11" t="s">
        <v>674</v>
      </c>
      <c r="B131" s="9" t="s">
        <v>47</v>
      </c>
      <c r="C131" s="15" t="s">
        <v>47</v>
      </c>
      <c r="D131" s="15" t="s">
        <v>180</v>
      </c>
      <c r="E131" s="15" t="s">
        <v>675</v>
      </c>
      <c r="F131" s="15" t="s">
        <v>676</v>
      </c>
      <c r="G131" s="15" t="s">
        <v>677</v>
      </c>
      <c r="H131" s="9" t="s">
        <v>53</v>
      </c>
      <c r="I131" s="15" t="s">
        <v>678</v>
      </c>
      <c r="J131" s="15" t="s">
        <v>679</v>
      </c>
      <c r="K131" s="9"/>
      <c r="L131" s="9" t="s">
        <v>97</v>
      </c>
      <c r="M131" s="9" t="s">
        <v>106</v>
      </c>
      <c r="N131" s="16" t="s">
        <v>42</v>
      </c>
      <c r="O131" s="17"/>
      <c r="P131" s="17"/>
      <c r="Q131" s="17"/>
      <c r="R131" s="18"/>
      <c r="S131" s="16"/>
      <c r="T131" s="17" t="s">
        <v>680</v>
      </c>
    </row>
    <row r="132" spans="1:20" ht="22.8" x14ac:dyDescent="0.3">
      <c r="A132" s="11" t="s">
        <v>681</v>
      </c>
      <c r="B132" s="9" t="s">
        <v>47</v>
      </c>
      <c r="C132" s="15" t="s">
        <v>47</v>
      </c>
      <c r="D132" s="15" t="s">
        <v>187</v>
      </c>
      <c r="E132" s="15" t="s">
        <v>682</v>
      </c>
      <c r="F132" s="15" t="s">
        <v>683</v>
      </c>
      <c r="G132" s="15" t="s">
        <v>684</v>
      </c>
      <c r="H132" s="9" t="s">
        <v>53</v>
      </c>
      <c r="I132" s="15" t="s">
        <v>685</v>
      </c>
      <c r="J132" s="15" t="s">
        <v>686</v>
      </c>
      <c r="K132" s="9"/>
      <c r="L132" s="9" t="s">
        <v>97</v>
      </c>
      <c r="M132" s="9" t="s">
        <v>106</v>
      </c>
      <c r="N132" s="16" t="s">
        <v>42</v>
      </c>
      <c r="O132" s="17"/>
      <c r="P132" s="17"/>
      <c r="Q132" s="17"/>
      <c r="R132" s="18"/>
      <c r="S132" s="16"/>
      <c r="T132" s="17"/>
    </row>
    <row r="133" spans="1:20" ht="22.8" x14ac:dyDescent="0.3">
      <c r="A133" s="11" t="s">
        <v>687</v>
      </c>
      <c r="B133" s="9" t="s">
        <v>47</v>
      </c>
      <c r="C133" s="15" t="s">
        <v>47</v>
      </c>
      <c r="D133" s="15" t="s">
        <v>180</v>
      </c>
      <c r="E133" s="15" t="s">
        <v>688</v>
      </c>
      <c r="F133" s="15" t="s">
        <v>689</v>
      </c>
      <c r="G133" s="15" t="s">
        <v>690</v>
      </c>
      <c r="H133" s="9" t="s">
        <v>53</v>
      </c>
      <c r="I133" s="15" t="s">
        <v>691</v>
      </c>
      <c r="J133" s="15" t="s">
        <v>692</v>
      </c>
      <c r="K133" s="9"/>
      <c r="L133" s="9" t="s">
        <v>97</v>
      </c>
      <c r="M133" s="9" t="s">
        <v>106</v>
      </c>
      <c r="N133" s="16" t="s">
        <v>42</v>
      </c>
      <c r="O133" s="17"/>
      <c r="P133" s="17"/>
      <c r="Q133" s="17"/>
      <c r="R133" s="18"/>
      <c r="S133" s="16"/>
      <c r="T133" s="17"/>
    </row>
    <row r="134" spans="1:20" ht="22.8" x14ac:dyDescent="0.3">
      <c r="A134" s="11" t="s">
        <v>693</v>
      </c>
      <c r="B134" s="9" t="s">
        <v>48</v>
      </c>
      <c r="C134" s="15" t="s">
        <v>694</v>
      </c>
      <c r="D134" s="15" t="s">
        <v>187</v>
      </c>
      <c r="E134" s="15" t="s">
        <v>695</v>
      </c>
      <c r="F134" s="15" t="s">
        <v>696</v>
      </c>
      <c r="G134" s="15" t="s">
        <v>697</v>
      </c>
      <c r="H134" s="9" t="s">
        <v>52</v>
      </c>
      <c r="I134" s="15" t="s">
        <v>110</v>
      </c>
      <c r="J134" s="15" t="s">
        <v>110</v>
      </c>
      <c r="K134" s="9"/>
      <c r="L134" s="9" t="s">
        <v>97</v>
      </c>
      <c r="M134" s="9" t="s">
        <v>98</v>
      </c>
      <c r="N134" s="16" t="s">
        <v>42</v>
      </c>
      <c r="O134" s="17"/>
      <c r="P134" s="17"/>
      <c r="Q134" s="17"/>
      <c r="R134" s="18"/>
      <c r="S134" s="16"/>
      <c r="T134" s="17"/>
    </row>
    <row r="135" spans="1:20" ht="22.8" x14ac:dyDescent="0.3">
      <c r="A135" s="11" t="s">
        <v>698</v>
      </c>
      <c r="B135" s="9" t="s">
        <v>48</v>
      </c>
      <c r="C135" s="15" t="s">
        <v>694</v>
      </c>
      <c r="D135" s="15" t="s">
        <v>200</v>
      </c>
      <c r="E135" s="15" t="s">
        <v>695</v>
      </c>
      <c r="F135" s="15" t="s">
        <v>699</v>
      </c>
      <c r="G135" s="15" t="s">
        <v>700</v>
      </c>
      <c r="H135" s="9" t="s">
        <v>52</v>
      </c>
      <c r="I135" s="15" t="s">
        <v>110</v>
      </c>
      <c r="J135" s="15" t="s">
        <v>110</v>
      </c>
      <c r="K135" s="9"/>
      <c r="L135" s="9" t="s">
        <v>97</v>
      </c>
      <c r="M135" s="9" t="s">
        <v>98</v>
      </c>
      <c r="N135" s="16" t="s">
        <v>42</v>
      </c>
      <c r="O135" s="17"/>
      <c r="P135" s="17"/>
      <c r="Q135" s="17"/>
      <c r="R135" s="18"/>
      <c r="S135" s="16"/>
      <c r="T135" s="17"/>
    </row>
    <row r="136" spans="1:20" ht="22.8" x14ac:dyDescent="0.3">
      <c r="A136" s="11" t="s">
        <v>701</v>
      </c>
      <c r="B136" s="9" t="s">
        <v>48</v>
      </c>
      <c r="C136" s="15" t="s">
        <v>694</v>
      </c>
      <c r="D136" s="15" t="s">
        <v>205</v>
      </c>
      <c r="E136" s="15" t="s">
        <v>695</v>
      </c>
      <c r="F136" s="15" t="s">
        <v>702</v>
      </c>
      <c r="G136" s="15" t="s">
        <v>703</v>
      </c>
      <c r="H136" s="9" t="s">
        <v>52</v>
      </c>
      <c r="I136" s="15" t="s">
        <v>110</v>
      </c>
      <c r="J136" s="15" t="s">
        <v>110</v>
      </c>
      <c r="K136" s="9"/>
      <c r="L136" s="9" t="s">
        <v>97</v>
      </c>
      <c r="M136" s="9" t="s">
        <v>98</v>
      </c>
      <c r="N136" s="16" t="s">
        <v>42</v>
      </c>
      <c r="O136" s="17"/>
      <c r="P136" s="17"/>
      <c r="Q136" s="17"/>
      <c r="R136" s="18"/>
      <c r="S136" s="16"/>
      <c r="T136" s="17"/>
    </row>
    <row r="137" spans="1:20" ht="22.8" x14ac:dyDescent="0.3">
      <c r="A137" s="11" t="s">
        <v>704</v>
      </c>
      <c r="B137" s="9" t="s">
        <v>48</v>
      </c>
      <c r="C137" s="15" t="s">
        <v>694</v>
      </c>
      <c r="D137" s="15" t="s">
        <v>200</v>
      </c>
      <c r="E137" s="15" t="s">
        <v>695</v>
      </c>
      <c r="F137" s="15" t="s">
        <v>705</v>
      </c>
      <c r="G137" s="15" t="s">
        <v>706</v>
      </c>
      <c r="H137" s="9" t="s">
        <v>52</v>
      </c>
      <c r="I137" s="15" t="s">
        <v>110</v>
      </c>
      <c r="J137" s="15" t="s">
        <v>110</v>
      </c>
      <c r="K137" s="9"/>
      <c r="L137" s="9" t="s">
        <v>97</v>
      </c>
      <c r="M137" s="9" t="s">
        <v>106</v>
      </c>
      <c r="N137" s="16" t="s">
        <v>42</v>
      </c>
      <c r="O137" s="17"/>
      <c r="P137" s="17"/>
      <c r="Q137" s="17"/>
      <c r="R137" s="18"/>
      <c r="S137" s="16"/>
      <c r="T137" s="17"/>
    </row>
    <row r="138" spans="1:20" ht="22.8" x14ac:dyDescent="0.3">
      <c r="A138" s="11" t="s">
        <v>707</v>
      </c>
      <c r="B138" s="9" t="s">
        <v>48</v>
      </c>
      <c r="C138" s="15" t="s">
        <v>694</v>
      </c>
      <c r="D138" s="15" t="s">
        <v>708</v>
      </c>
      <c r="E138" s="15" t="s">
        <v>695</v>
      </c>
      <c r="F138" s="15" t="s">
        <v>709</v>
      </c>
      <c r="G138" s="15" t="s">
        <v>710</v>
      </c>
      <c r="H138" s="9" t="s">
        <v>52</v>
      </c>
      <c r="I138" s="15" t="s">
        <v>110</v>
      </c>
      <c r="J138" s="15" t="s">
        <v>110</v>
      </c>
      <c r="K138" s="9"/>
      <c r="L138" s="9" t="s">
        <v>97</v>
      </c>
      <c r="M138" s="9" t="s">
        <v>106</v>
      </c>
      <c r="N138" s="16" t="s">
        <v>42</v>
      </c>
      <c r="O138" s="17"/>
      <c r="P138" s="17"/>
      <c r="Q138" s="17"/>
      <c r="R138" s="18"/>
      <c r="S138" s="16"/>
      <c r="T138" s="17"/>
    </row>
    <row r="139" spans="1:20" ht="22.8" x14ac:dyDescent="0.3">
      <c r="A139" s="11" t="s">
        <v>711</v>
      </c>
      <c r="B139" s="9" t="s">
        <v>48</v>
      </c>
      <c r="C139" s="15" t="s">
        <v>694</v>
      </c>
      <c r="D139" s="15" t="s">
        <v>712</v>
      </c>
      <c r="E139" s="15" t="s">
        <v>695</v>
      </c>
      <c r="F139" s="15" t="s">
        <v>470</v>
      </c>
      <c r="G139" s="15" t="s">
        <v>713</v>
      </c>
      <c r="H139" s="9" t="s">
        <v>52</v>
      </c>
      <c r="I139" s="15" t="s">
        <v>110</v>
      </c>
      <c r="J139" s="15" t="s">
        <v>110</v>
      </c>
      <c r="K139" s="9"/>
      <c r="L139" s="9" t="s">
        <v>97</v>
      </c>
      <c r="M139" s="9" t="s">
        <v>106</v>
      </c>
      <c r="N139" s="16" t="s">
        <v>42</v>
      </c>
      <c r="O139" s="17"/>
      <c r="P139" s="17"/>
      <c r="Q139" s="17"/>
      <c r="R139" s="18"/>
      <c r="S139" s="16"/>
      <c r="T139" s="17"/>
    </row>
    <row r="140" spans="1:20" ht="45.6" x14ac:dyDescent="0.3">
      <c r="A140" s="11" t="s">
        <v>714</v>
      </c>
      <c r="B140" s="9" t="s">
        <v>49</v>
      </c>
      <c r="C140" s="15" t="s">
        <v>715</v>
      </c>
      <c r="D140" s="15" t="s">
        <v>716</v>
      </c>
      <c r="E140" s="15" t="s">
        <v>717</v>
      </c>
      <c r="F140" s="15" t="s">
        <v>718</v>
      </c>
      <c r="G140" s="15" t="s">
        <v>719</v>
      </c>
      <c r="H140" s="9" t="s">
        <v>52</v>
      </c>
      <c r="I140" s="15" t="s">
        <v>95</v>
      </c>
      <c r="J140" s="15" t="s">
        <v>191</v>
      </c>
      <c r="K140" s="9"/>
      <c r="L140" s="9" t="s">
        <v>97</v>
      </c>
      <c r="M140" s="9" t="s">
        <v>98</v>
      </c>
      <c r="N140" s="16" t="s">
        <v>38</v>
      </c>
      <c r="O140" s="17" t="s">
        <v>720</v>
      </c>
      <c r="P140" s="17"/>
      <c r="Q140" s="17" t="s">
        <v>100</v>
      </c>
      <c r="R140" s="18">
        <v>46302</v>
      </c>
      <c r="S140" s="16" t="s">
        <v>101</v>
      </c>
      <c r="T140" s="17"/>
    </row>
    <row r="141" spans="1:20" ht="45.6" x14ac:dyDescent="0.3">
      <c r="A141" s="11" t="s">
        <v>721</v>
      </c>
      <c r="B141" s="9" t="s">
        <v>49</v>
      </c>
      <c r="C141" s="15" t="s">
        <v>722</v>
      </c>
      <c r="D141" s="15" t="s">
        <v>716</v>
      </c>
      <c r="E141" s="15" t="s">
        <v>717</v>
      </c>
      <c r="F141" s="15" t="s">
        <v>723</v>
      </c>
      <c r="G141" s="15" t="s">
        <v>724</v>
      </c>
      <c r="H141" s="9" t="s">
        <v>52</v>
      </c>
      <c r="I141" s="15" t="s">
        <v>95</v>
      </c>
      <c r="J141" s="15" t="s">
        <v>191</v>
      </c>
      <c r="K141" s="9"/>
      <c r="L141" s="9" t="s">
        <v>97</v>
      </c>
      <c r="M141" s="9" t="s">
        <v>98</v>
      </c>
      <c r="N141" s="16" t="s">
        <v>38</v>
      </c>
      <c r="O141" s="17" t="s">
        <v>725</v>
      </c>
      <c r="P141" s="17"/>
      <c r="Q141" s="17" t="s">
        <v>100</v>
      </c>
      <c r="R141" s="18">
        <v>46302</v>
      </c>
      <c r="S141" s="16" t="s">
        <v>101</v>
      </c>
      <c r="T141" s="17" t="s">
        <v>726</v>
      </c>
    </row>
    <row r="142" spans="1:20" ht="57" x14ac:dyDescent="0.3">
      <c r="A142" s="11" t="s">
        <v>727</v>
      </c>
      <c r="B142" s="9" t="s">
        <v>49</v>
      </c>
      <c r="C142" s="15" t="s">
        <v>728</v>
      </c>
      <c r="D142" s="15" t="s">
        <v>716</v>
      </c>
      <c r="E142" s="15" t="s">
        <v>717</v>
      </c>
      <c r="F142" s="15" t="s">
        <v>729</v>
      </c>
      <c r="G142" s="15" t="s">
        <v>730</v>
      </c>
      <c r="H142" s="9" t="s">
        <v>52</v>
      </c>
      <c r="I142" s="15" t="s">
        <v>95</v>
      </c>
      <c r="J142" s="15" t="s">
        <v>731</v>
      </c>
      <c r="K142" s="9"/>
      <c r="L142" s="9" t="s">
        <v>97</v>
      </c>
      <c r="M142" s="9" t="s">
        <v>106</v>
      </c>
      <c r="N142" s="16" t="s">
        <v>38</v>
      </c>
      <c r="O142" s="17" t="s">
        <v>732</v>
      </c>
      <c r="P142" s="17"/>
      <c r="Q142" s="17" t="s">
        <v>100</v>
      </c>
      <c r="R142" s="18">
        <v>46302</v>
      </c>
      <c r="S142" s="16" t="s">
        <v>101</v>
      </c>
      <c r="T142" s="17" t="s">
        <v>733</v>
      </c>
    </row>
    <row r="143" spans="1:20" ht="34.200000000000003" x14ac:dyDescent="0.3">
      <c r="A143" s="11" t="s">
        <v>734</v>
      </c>
      <c r="B143" s="9" t="s">
        <v>49</v>
      </c>
      <c r="C143" s="15" t="s">
        <v>735</v>
      </c>
      <c r="D143" s="15" t="s">
        <v>716</v>
      </c>
      <c r="E143" s="15" t="s">
        <v>717</v>
      </c>
      <c r="F143" s="15" t="s">
        <v>736</v>
      </c>
      <c r="G143" s="15" t="s">
        <v>737</v>
      </c>
      <c r="H143" s="9" t="s">
        <v>52</v>
      </c>
      <c r="I143" s="15" t="s">
        <v>95</v>
      </c>
      <c r="J143" s="15" t="s">
        <v>738</v>
      </c>
      <c r="K143" s="9"/>
      <c r="L143" s="9" t="s">
        <v>97</v>
      </c>
      <c r="M143" s="9" t="s">
        <v>106</v>
      </c>
      <c r="N143" s="16" t="s">
        <v>42</v>
      </c>
      <c r="O143" s="17"/>
      <c r="P143" s="17"/>
      <c r="Q143" s="17"/>
      <c r="R143" s="18"/>
      <c r="S143" s="16"/>
      <c r="T143" s="17"/>
    </row>
    <row r="144" spans="1:20" ht="34.200000000000003" x14ac:dyDescent="0.3">
      <c r="A144" s="11" t="s">
        <v>739</v>
      </c>
      <c r="B144" s="9" t="s">
        <v>49</v>
      </c>
      <c r="C144" s="15" t="s">
        <v>740</v>
      </c>
      <c r="D144" s="15" t="s">
        <v>716</v>
      </c>
      <c r="E144" s="15" t="s">
        <v>717</v>
      </c>
      <c r="F144" s="15" t="s">
        <v>741</v>
      </c>
      <c r="G144" s="15" t="s">
        <v>742</v>
      </c>
      <c r="H144" s="9" t="s">
        <v>52</v>
      </c>
      <c r="I144" s="15" t="s">
        <v>95</v>
      </c>
      <c r="J144" s="15" t="s">
        <v>191</v>
      </c>
      <c r="K144" s="9"/>
      <c r="L144" s="9" t="s">
        <v>97</v>
      </c>
      <c r="M144" s="9" t="s">
        <v>106</v>
      </c>
      <c r="N144" s="16" t="s">
        <v>42</v>
      </c>
      <c r="O144" s="17"/>
      <c r="P144" s="17"/>
      <c r="Q144" s="17"/>
      <c r="R144" s="18"/>
      <c r="S144" s="16"/>
      <c r="T144" s="17"/>
    </row>
    <row r="145" spans="1:20" ht="22.8" x14ac:dyDescent="0.3">
      <c r="A145" s="11" t="s">
        <v>743</v>
      </c>
      <c r="B145" s="9" t="s">
        <v>49</v>
      </c>
      <c r="C145" s="15" t="s">
        <v>744</v>
      </c>
      <c r="D145" s="15" t="s">
        <v>716</v>
      </c>
      <c r="E145" s="15" t="s">
        <v>717</v>
      </c>
      <c r="F145" s="15" t="s">
        <v>745</v>
      </c>
      <c r="G145" s="15" t="s">
        <v>746</v>
      </c>
      <c r="H145" s="9" t="s">
        <v>52</v>
      </c>
      <c r="I145" s="15" t="s">
        <v>95</v>
      </c>
      <c r="J145" s="15" t="s">
        <v>747</v>
      </c>
      <c r="K145" s="9" t="s">
        <v>748</v>
      </c>
      <c r="L145" s="9" t="s">
        <v>153</v>
      </c>
      <c r="M145" s="9" t="s">
        <v>106</v>
      </c>
      <c r="N145" s="16" t="s">
        <v>42</v>
      </c>
      <c r="O145" s="17"/>
      <c r="P145" s="17"/>
      <c r="Q145" s="17"/>
      <c r="R145" s="18"/>
      <c r="S145" s="16"/>
      <c r="T145" s="17"/>
    </row>
    <row r="146" spans="1:20" ht="34.200000000000003" x14ac:dyDescent="0.3">
      <c r="A146" s="11" t="s">
        <v>749</v>
      </c>
      <c r="B146" s="9" t="s">
        <v>49</v>
      </c>
      <c r="C146" s="15" t="s">
        <v>750</v>
      </c>
      <c r="D146" s="15" t="s">
        <v>716</v>
      </c>
      <c r="E146" s="15" t="s">
        <v>717</v>
      </c>
      <c r="F146" s="15" t="s">
        <v>751</v>
      </c>
      <c r="G146" s="15" t="s">
        <v>752</v>
      </c>
      <c r="H146" s="9" t="s">
        <v>52</v>
      </c>
      <c r="I146" s="15" t="s">
        <v>95</v>
      </c>
      <c r="J146" s="15" t="s">
        <v>185</v>
      </c>
      <c r="K146" s="9"/>
      <c r="L146" s="9" t="s">
        <v>97</v>
      </c>
      <c r="M146" s="9" t="s">
        <v>106</v>
      </c>
      <c r="N146" s="16" t="s">
        <v>42</v>
      </c>
      <c r="O146" s="17"/>
      <c r="P146" s="17"/>
      <c r="Q146" s="17"/>
      <c r="R146" s="18"/>
      <c r="S146" s="16"/>
      <c r="T146" s="17"/>
    </row>
    <row r="147" spans="1:20" ht="57" x14ac:dyDescent="0.3">
      <c r="A147" s="11" t="s">
        <v>753</v>
      </c>
      <c r="B147" s="9" t="s">
        <v>49</v>
      </c>
      <c r="C147" s="15" t="s">
        <v>754</v>
      </c>
      <c r="D147" s="15" t="s">
        <v>716</v>
      </c>
      <c r="E147" s="15" t="s">
        <v>717</v>
      </c>
      <c r="F147" s="15" t="s">
        <v>755</v>
      </c>
      <c r="G147" s="15" t="s">
        <v>756</v>
      </c>
      <c r="H147" s="9" t="s">
        <v>52</v>
      </c>
      <c r="I147" s="15" t="s">
        <v>95</v>
      </c>
      <c r="J147" s="15" t="s">
        <v>757</v>
      </c>
      <c r="K147" s="9" t="s">
        <v>758</v>
      </c>
      <c r="L147" s="9" t="s">
        <v>153</v>
      </c>
      <c r="M147" s="9" t="s">
        <v>106</v>
      </c>
      <c r="N147" s="16" t="s">
        <v>42</v>
      </c>
      <c r="O147" s="17"/>
      <c r="P147" s="17"/>
      <c r="Q147" s="17"/>
      <c r="R147" s="18"/>
      <c r="S147" s="16"/>
      <c r="T147" s="17"/>
    </row>
    <row r="148" spans="1:20" ht="34.200000000000003" x14ac:dyDescent="0.3">
      <c r="A148" s="11" t="s">
        <v>759</v>
      </c>
      <c r="B148" s="9" t="s">
        <v>49</v>
      </c>
      <c r="C148" s="15" t="s">
        <v>760</v>
      </c>
      <c r="D148" s="15" t="s">
        <v>716</v>
      </c>
      <c r="E148" s="15" t="s">
        <v>717</v>
      </c>
      <c r="F148" s="15" t="s">
        <v>761</v>
      </c>
      <c r="G148" s="15" t="s">
        <v>762</v>
      </c>
      <c r="H148" s="9" t="s">
        <v>52</v>
      </c>
      <c r="I148" s="15" t="s">
        <v>95</v>
      </c>
      <c r="J148" s="15" t="s">
        <v>763</v>
      </c>
      <c r="K148" s="9"/>
      <c r="L148" s="9" t="s">
        <v>97</v>
      </c>
      <c r="M148" s="9" t="s">
        <v>106</v>
      </c>
      <c r="N148" s="16" t="s">
        <v>42</v>
      </c>
      <c r="O148" s="17"/>
      <c r="P148" s="17"/>
      <c r="Q148" s="17"/>
      <c r="R148" s="18"/>
      <c r="S148" s="16"/>
      <c r="T148" s="17"/>
    </row>
    <row r="149" spans="1:20" ht="34.200000000000003" x14ac:dyDescent="0.3">
      <c r="A149" s="11" t="s">
        <v>764</v>
      </c>
      <c r="B149" s="9" t="s">
        <v>49</v>
      </c>
      <c r="C149" s="15" t="s">
        <v>765</v>
      </c>
      <c r="D149" s="15" t="s">
        <v>716</v>
      </c>
      <c r="E149" s="15" t="s">
        <v>717</v>
      </c>
      <c r="F149" s="15" t="s">
        <v>766</v>
      </c>
      <c r="G149" s="15" t="s">
        <v>767</v>
      </c>
      <c r="H149" s="9" t="s">
        <v>52</v>
      </c>
      <c r="I149" s="15" t="s">
        <v>95</v>
      </c>
      <c r="J149" s="15" t="s">
        <v>241</v>
      </c>
      <c r="K149" s="9" t="s">
        <v>768</v>
      </c>
      <c r="L149" s="9" t="s">
        <v>153</v>
      </c>
      <c r="M149" s="9" t="s">
        <v>106</v>
      </c>
      <c r="N149" s="16" t="s">
        <v>42</v>
      </c>
      <c r="O149" s="17"/>
      <c r="P149" s="17"/>
      <c r="Q149" s="17"/>
      <c r="R149" s="18"/>
      <c r="S149" s="16"/>
      <c r="T149" s="17"/>
    </row>
    <row r="150" spans="1:20" ht="22.8" x14ac:dyDescent="0.3">
      <c r="A150" s="11" t="s">
        <v>769</v>
      </c>
      <c r="B150" s="9" t="s">
        <v>49</v>
      </c>
      <c r="C150" s="15" t="s">
        <v>770</v>
      </c>
      <c r="D150" s="15" t="s">
        <v>716</v>
      </c>
      <c r="E150" s="15" t="s">
        <v>717</v>
      </c>
      <c r="F150" s="15" t="s">
        <v>771</v>
      </c>
      <c r="G150" s="15" t="s">
        <v>772</v>
      </c>
      <c r="H150" s="9" t="s">
        <v>52</v>
      </c>
      <c r="I150" s="15" t="s">
        <v>95</v>
      </c>
      <c r="J150" s="15" t="s">
        <v>321</v>
      </c>
      <c r="K150" s="9"/>
      <c r="L150" s="9" t="s">
        <v>97</v>
      </c>
      <c r="M150" s="9" t="s">
        <v>106</v>
      </c>
      <c r="N150" s="16" t="s">
        <v>42</v>
      </c>
      <c r="O150" s="17"/>
      <c r="P150" s="17"/>
      <c r="Q150" s="17"/>
      <c r="R150" s="18"/>
      <c r="S150" s="16"/>
      <c r="T150" s="17"/>
    </row>
    <row r="151" spans="1:20" ht="22.8" x14ac:dyDescent="0.3">
      <c r="A151" s="11" t="s">
        <v>773</v>
      </c>
      <c r="B151" s="9" t="s">
        <v>49</v>
      </c>
      <c r="C151" s="15" t="s">
        <v>774</v>
      </c>
      <c r="D151" s="15" t="s">
        <v>716</v>
      </c>
      <c r="E151" s="15" t="s">
        <v>717</v>
      </c>
      <c r="F151" s="15" t="s">
        <v>775</v>
      </c>
      <c r="G151" s="15" t="s">
        <v>776</v>
      </c>
      <c r="H151" s="9" t="s">
        <v>52</v>
      </c>
      <c r="I151" s="15" t="s">
        <v>95</v>
      </c>
      <c r="J151" s="15" t="s">
        <v>151</v>
      </c>
      <c r="K151" s="9"/>
      <c r="L151" s="9" t="s">
        <v>97</v>
      </c>
      <c r="M151" s="9" t="s">
        <v>106</v>
      </c>
      <c r="N151" s="16" t="s">
        <v>42</v>
      </c>
      <c r="O151" s="17"/>
      <c r="P151" s="17"/>
      <c r="Q151" s="17"/>
      <c r="R151" s="18"/>
      <c r="S151" s="16"/>
      <c r="T151" s="17"/>
    </row>
    <row r="152" spans="1:20" ht="34.200000000000003" x14ac:dyDescent="0.3">
      <c r="A152" s="11" t="s">
        <v>777</v>
      </c>
      <c r="B152" s="9" t="s">
        <v>49</v>
      </c>
      <c r="C152" s="15" t="s">
        <v>778</v>
      </c>
      <c r="D152" s="15" t="s">
        <v>716</v>
      </c>
      <c r="E152" s="15" t="s">
        <v>717</v>
      </c>
      <c r="F152" s="15" t="s">
        <v>779</v>
      </c>
      <c r="G152" s="15" t="s">
        <v>780</v>
      </c>
      <c r="H152" s="9" t="s">
        <v>53</v>
      </c>
      <c r="I152" s="15" t="s">
        <v>95</v>
      </c>
      <c r="J152" s="15" t="s">
        <v>164</v>
      </c>
      <c r="K152" s="9"/>
      <c r="L152" s="9" t="s">
        <v>97</v>
      </c>
      <c r="M152" s="9" t="s">
        <v>106</v>
      </c>
      <c r="N152" s="16" t="s">
        <v>42</v>
      </c>
      <c r="O152" s="17"/>
      <c r="P152" s="17"/>
      <c r="Q152" s="17"/>
      <c r="R152" s="18"/>
      <c r="S152" s="16"/>
      <c r="T152" s="17"/>
    </row>
    <row r="153" spans="1:20" ht="34.200000000000003" x14ac:dyDescent="0.3">
      <c r="A153" s="11" t="s">
        <v>781</v>
      </c>
      <c r="B153" s="9" t="s">
        <v>49</v>
      </c>
      <c r="C153" s="15" t="s">
        <v>782</v>
      </c>
      <c r="D153" s="15" t="s">
        <v>716</v>
      </c>
      <c r="E153" s="15" t="s">
        <v>717</v>
      </c>
      <c r="F153" s="15" t="s">
        <v>783</v>
      </c>
      <c r="G153" s="15" t="s">
        <v>784</v>
      </c>
      <c r="H153" s="9" t="s">
        <v>53</v>
      </c>
      <c r="I153" s="15" t="s">
        <v>95</v>
      </c>
      <c r="J153" s="15" t="s">
        <v>785</v>
      </c>
      <c r="K153" s="9" t="s">
        <v>786</v>
      </c>
      <c r="L153" s="9" t="s">
        <v>153</v>
      </c>
      <c r="M153" s="9" t="s">
        <v>106</v>
      </c>
      <c r="N153" s="16" t="s">
        <v>42</v>
      </c>
      <c r="O153" s="17"/>
      <c r="P153" s="17"/>
      <c r="Q153" s="17"/>
      <c r="R153" s="18"/>
      <c r="S153" s="16"/>
      <c r="T153" s="17"/>
    </row>
    <row r="154" spans="1:20" ht="34.200000000000003" x14ac:dyDescent="0.3">
      <c r="A154" s="11" t="s">
        <v>787</v>
      </c>
      <c r="B154" s="9" t="s">
        <v>49</v>
      </c>
      <c r="C154" s="15" t="s">
        <v>788</v>
      </c>
      <c r="D154" s="15" t="s">
        <v>716</v>
      </c>
      <c r="E154" s="15" t="s">
        <v>717</v>
      </c>
      <c r="F154" s="15" t="s">
        <v>789</v>
      </c>
      <c r="G154" s="15" t="s">
        <v>790</v>
      </c>
      <c r="H154" s="9" t="s">
        <v>52</v>
      </c>
      <c r="I154" s="15" t="s">
        <v>95</v>
      </c>
      <c r="J154" s="15" t="s">
        <v>791</v>
      </c>
      <c r="K154" s="9" t="s">
        <v>572</v>
      </c>
      <c r="L154" s="9" t="s">
        <v>153</v>
      </c>
      <c r="M154" s="9" t="s">
        <v>106</v>
      </c>
      <c r="N154" s="16" t="s">
        <v>39</v>
      </c>
      <c r="O154" s="17" t="s">
        <v>792</v>
      </c>
      <c r="P154" s="17" t="s">
        <v>572</v>
      </c>
      <c r="Q154" s="17" t="s">
        <v>100</v>
      </c>
      <c r="R154" s="18">
        <v>46302</v>
      </c>
      <c r="S154" s="16" t="s">
        <v>101</v>
      </c>
      <c r="T154" s="17"/>
    </row>
    <row r="155" spans="1:20" ht="34.200000000000003" x14ac:dyDescent="0.3">
      <c r="A155" s="11" t="s">
        <v>793</v>
      </c>
      <c r="B155" s="9" t="s">
        <v>49</v>
      </c>
      <c r="C155" s="15" t="s">
        <v>794</v>
      </c>
      <c r="D155" s="15" t="s">
        <v>716</v>
      </c>
      <c r="E155" s="15" t="s">
        <v>717</v>
      </c>
      <c r="F155" s="15" t="s">
        <v>795</v>
      </c>
      <c r="G155" s="15" t="s">
        <v>796</v>
      </c>
      <c r="H155" s="9" t="s">
        <v>53</v>
      </c>
      <c r="I155" s="15" t="s">
        <v>95</v>
      </c>
      <c r="J155" s="15" t="s">
        <v>191</v>
      </c>
      <c r="K155" s="9"/>
      <c r="L155" s="9" t="s">
        <v>97</v>
      </c>
      <c r="M155" s="9" t="s">
        <v>106</v>
      </c>
      <c r="N155" s="16" t="s">
        <v>38</v>
      </c>
      <c r="O155" s="17" t="s">
        <v>797</v>
      </c>
      <c r="P155" s="17"/>
      <c r="Q155" s="17" t="s">
        <v>100</v>
      </c>
      <c r="R155" s="18">
        <v>46302</v>
      </c>
      <c r="S155" s="16" t="s">
        <v>101</v>
      </c>
      <c r="T155" s="17"/>
    </row>
  </sheetData>
  <autoFilter ref="A1:T155" xr:uid="{00000000-0009-0000-0000-000002000000}"/>
  <conditionalFormatting sqref="L2:L155">
    <cfRule type="cellIs" dxfId="8" priority="5" operator="equal">
      <formula>"Known deviation"</formula>
    </cfRule>
  </conditionalFormatting>
  <conditionalFormatting sqref="N2:N155">
    <cfRule type="cellIs" dxfId="7" priority="1" operator="equal">
      <formula>"Pass"</formula>
    </cfRule>
    <cfRule type="cellIs" dxfId="6" priority="2" operator="equal">
      <formula>"Fail"</formula>
    </cfRule>
    <cfRule type="cellIs" dxfId="5" priority="3" operator="equal">
      <formula>"Blocked"</formula>
    </cfRule>
    <cfRule type="cellIs" dxfId="4" priority="4" operator="equal">
      <formula>"N/A"</formula>
    </cfRule>
  </conditionalFormatting>
  <dataValidations count="2">
    <dataValidation type="list" errorTitle="Invalid status" error="Choose Not Run, Pass, Fail, Blocked or N/A" sqref="N2:N155" xr:uid="{00000000-0002-0000-0200-000000000000}">
      <formula1>"Not Run,Pass,Fail,Blocked,N/A"</formula1>
    </dataValidation>
    <dataValidation type="date" operator="greaterThan" allowBlank="1" sqref="R2:R155" xr:uid="{00000000-0002-0000-0200-000001000000}">
      <formula1>DATE(2026,1,1)</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43"/>
  <sheetViews>
    <sheetView workbookViewId="0">
      <pane xSplit="1" ySplit="1" topLeftCell="B2" activePane="bottomRight" state="frozen"/>
      <selection pane="topRight"/>
      <selection pane="bottomLeft"/>
      <selection pane="bottomRight"/>
    </sheetView>
  </sheetViews>
  <sheetFormatPr defaultRowHeight="14.4" x14ac:dyDescent="0.3"/>
  <cols>
    <col min="1" max="1" width="13" customWidth="1"/>
    <col min="2" max="2" width="16" customWidth="1"/>
    <col min="3" max="3" width="10" customWidth="1"/>
    <col min="4" max="4" width="48" customWidth="1"/>
    <col min="5" max="5" width="9" customWidth="1"/>
    <col min="6" max="6" width="32" customWidth="1"/>
    <col min="7" max="7" width="20" customWidth="1"/>
    <col min="8" max="8" width="9" customWidth="1"/>
    <col min="9" max="10" width="7" customWidth="1"/>
    <col min="11" max="11" width="8" customWidth="1"/>
    <col min="12" max="12" width="6" customWidth="1"/>
    <col min="13" max="13" width="8" customWidth="1"/>
    <col min="14" max="14" width="10" customWidth="1"/>
    <col min="15" max="15" width="12" customWidth="1"/>
  </cols>
  <sheetData>
    <row r="1" spans="1:15" ht="31.95" customHeight="1" x14ac:dyDescent="0.3">
      <c r="A1" s="14" t="s">
        <v>798</v>
      </c>
      <c r="B1" s="14" t="s">
        <v>799</v>
      </c>
      <c r="C1" s="14" t="s">
        <v>800</v>
      </c>
      <c r="D1" s="14" t="s">
        <v>801</v>
      </c>
      <c r="E1" s="14" t="s">
        <v>802</v>
      </c>
      <c r="F1" s="14" t="s">
        <v>803</v>
      </c>
      <c r="G1" s="14" t="s">
        <v>804</v>
      </c>
      <c r="H1" s="14" t="s">
        <v>805</v>
      </c>
      <c r="I1" s="14" t="s">
        <v>38</v>
      </c>
      <c r="J1" s="14" t="s">
        <v>39</v>
      </c>
      <c r="K1" s="14" t="s">
        <v>40</v>
      </c>
      <c r="L1" s="14" t="s">
        <v>41</v>
      </c>
      <c r="M1" s="14" t="s">
        <v>42</v>
      </c>
      <c r="N1" s="14" t="s">
        <v>43</v>
      </c>
      <c r="O1" s="14" t="s">
        <v>806</v>
      </c>
    </row>
    <row r="2" spans="1:15" ht="22.8" x14ac:dyDescent="0.3">
      <c r="A2" s="11" t="s">
        <v>499</v>
      </c>
      <c r="B2" s="15" t="s">
        <v>807</v>
      </c>
      <c r="C2" s="9" t="s">
        <v>808</v>
      </c>
      <c r="D2" s="15" t="s">
        <v>809</v>
      </c>
      <c r="E2" s="9" t="s">
        <v>810</v>
      </c>
      <c r="F2" s="15" t="s">
        <v>811</v>
      </c>
      <c r="G2" s="15" t="s">
        <v>152</v>
      </c>
      <c r="H2" s="9">
        <f>COUNTIF('Test Cases'!$J$2:$J$155,"*"&amp;A2&amp;"*")</f>
        <v>4</v>
      </c>
      <c r="I2" s="9">
        <f>COUNTIFS('Test Cases'!$J$2:$J$155,"*"&amp;A2&amp;"*",'Test Cases'!$N$2:$N$155,"Pass")</f>
        <v>0</v>
      </c>
      <c r="J2" s="9">
        <f>COUNTIFS('Test Cases'!$J$2:$J$155,"*"&amp;A2&amp;"*",'Test Cases'!$N$2:$N$155,"Fail")</f>
        <v>0</v>
      </c>
      <c r="K2" s="9">
        <f>COUNTIFS('Test Cases'!$J$2:$J$155,"*"&amp;A2&amp;"*",'Test Cases'!$N$2:$N$155,"Blocked")</f>
        <v>0</v>
      </c>
      <c r="L2" s="9">
        <f>COUNTIFS('Test Cases'!$J$2:$J$155,"*"&amp;A2&amp;"*",'Test Cases'!$N$2:$N$155,"N/A")</f>
        <v>0</v>
      </c>
      <c r="M2" s="9">
        <f>COUNTIFS('Test Cases'!$J$2:$J$155,"*"&amp;A2&amp;"*",'Test Cases'!$N$2:$N$155,"Not Run")</f>
        <v>4</v>
      </c>
      <c r="N2" s="10">
        <f t="shared" ref="N2:N41" si="0">IF(H2=0,0,(H2-M2)/H2)</f>
        <v>0</v>
      </c>
      <c r="O2" s="9" t="str">
        <f t="shared" ref="O2:O41" si="1">IF(H2=0,"No coverage",IF(J2&gt;0,"Fail",IF(M2=H2,"Not run",IF(I2+L2=H2,"Pass","In progress"))))</f>
        <v>Not run</v>
      </c>
    </row>
    <row r="3" spans="1:15" ht="22.8" x14ac:dyDescent="0.3">
      <c r="A3" s="11" t="s">
        <v>160</v>
      </c>
      <c r="B3" s="15" t="s">
        <v>807</v>
      </c>
      <c r="C3" s="9" t="s">
        <v>808</v>
      </c>
      <c r="D3" s="15" t="s">
        <v>812</v>
      </c>
      <c r="E3" s="9" t="s">
        <v>810</v>
      </c>
      <c r="F3" s="15" t="s">
        <v>813</v>
      </c>
      <c r="G3" s="15" t="s">
        <v>95</v>
      </c>
      <c r="H3" s="9">
        <f>COUNTIF('Test Cases'!$J$2:$J$155,"*"&amp;A3&amp;"*")</f>
        <v>7</v>
      </c>
      <c r="I3" s="9">
        <f>COUNTIFS('Test Cases'!$J$2:$J$155,"*"&amp;A3&amp;"*",'Test Cases'!$N$2:$N$155,"Pass")</f>
        <v>3</v>
      </c>
      <c r="J3" s="9">
        <f>COUNTIFS('Test Cases'!$J$2:$J$155,"*"&amp;A3&amp;"*",'Test Cases'!$N$2:$N$155,"Fail")</f>
        <v>0</v>
      </c>
      <c r="K3" s="9">
        <f>COUNTIFS('Test Cases'!$J$2:$J$155,"*"&amp;A3&amp;"*",'Test Cases'!$N$2:$N$155,"Blocked")</f>
        <v>0</v>
      </c>
      <c r="L3" s="9">
        <f>COUNTIFS('Test Cases'!$J$2:$J$155,"*"&amp;A3&amp;"*",'Test Cases'!$N$2:$N$155,"N/A")</f>
        <v>0</v>
      </c>
      <c r="M3" s="9">
        <f>COUNTIFS('Test Cases'!$J$2:$J$155,"*"&amp;A3&amp;"*",'Test Cases'!$N$2:$N$155,"Not Run")</f>
        <v>4</v>
      </c>
      <c r="N3" s="10">
        <f t="shared" si="0"/>
        <v>0.42857142857142855</v>
      </c>
      <c r="O3" s="9" t="str">
        <f t="shared" si="1"/>
        <v>In progress</v>
      </c>
    </row>
    <row r="4" spans="1:15" x14ac:dyDescent="0.3">
      <c r="A4" s="11" t="s">
        <v>559</v>
      </c>
      <c r="B4" s="15" t="s">
        <v>807</v>
      </c>
      <c r="C4" s="9" t="s">
        <v>808</v>
      </c>
      <c r="D4" s="15" t="s">
        <v>814</v>
      </c>
      <c r="E4" s="9" t="s">
        <v>810</v>
      </c>
      <c r="F4" s="15" t="s">
        <v>556</v>
      </c>
      <c r="G4" s="15" t="s">
        <v>560</v>
      </c>
      <c r="H4" s="9">
        <f>COUNTIF('Test Cases'!$J$2:$J$155,"*"&amp;A4&amp;"*")</f>
        <v>1</v>
      </c>
      <c r="I4" s="9">
        <f>COUNTIFS('Test Cases'!$J$2:$J$155,"*"&amp;A4&amp;"*",'Test Cases'!$N$2:$N$155,"Pass")</f>
        <v>0</v>
      </c>
      <c r="J4" s="9">
        <f>COUNTIFS('Test Cases'!$J$2:$J$155,"*"&amp;A4&amp;"*",'Test Cases'!$N$2:$N$155,"Fail")</f>
        <v>0</v>
      </c>
      <c r="K4" s="9">
        <f>COUNTIFS('Test Cases'!$J$2:$J$155,"*"&amp;A4&amp;"*",'Test Cases'!$N$2:$N$155,"Blocked")</f>
        <v>0</v>
      </c>
      <c r="L4" s="9">
        <f>COUNTIFS('Test Cases'!$J$2:$J$155,"*"&amp;A4&amp;"*",'Test Cases'!$N$2:$N$155,"N/A")</f>
        <v>0</v>
      </c>
      <c r="M4" s="9">
        <f>COUNTIFS('Test Cases'!$J$2:$J$155,"*"&amp;A4&amp;"*",'Test Cases'!$N$2:$N$155,"Not Run")</f>
        <v>1</v>
      </c>
      <c r="N4" s="10">
        <f t="shared" si="0"/>
        <v>0</v>
      </c>
      <c r="O4" s="9" t="str">
        <f t="shared" si="1"/>
        <v>Not run</v>
      </c>
    </row>
    <row r="5" spans="1:15" ht="22.8" x14ac:dyDescent="0.3">
      <c r="A5" s="11" t="s">
        <v>544</v>
      </c>
      <c r="B5" s="15" t="s">
        <v>807</v>
      </c>
      <c r="C5" s="9" t="s">
        <v>808</v>
      </c>
      <c r="D5" s="15" t="s">
        <v>815</v>
      </c>
      <c r="E5" s="9" t="s">
        <v>810</v>
      </c>
      <c r="F5" s="15" t="s">
        <v>816</v>
      </c>
      <c r="G5" s="15" t="s">
        <v>95</v>
      </c>
      <c r="H5" s="9">
        <f>COUNTIF('Test Cases'!$J$2:$J$155,"*"&amp;A5&amp;"*")</f>
        <v>4</v>
      </c>
      <c r="I5" s="9">
        <f>COUNTIFS('Test Cases'!$J$2:$J$155,"*"&amp;A5&amp;"*",'Test Cases'!$N$2:$N$155,"Pass")</f>
        <v>0</v>
      </c>
      <c r="J5" s="9">
        <f>COUNTIFS('Test Cases'!$J$2:$J$155,"*"&amp;A5&amp;"*",'Test Cases'!$N$2:$N$155,"Fail")</f>
        <v>0</v>
      </c>
      <c r="K5" s="9">
        <f>COUNTIFS('Test Cases'!$J$2:$J$155,"*"&amp;A5&amp;"*",'Test Cases'!$N$2:$N$155,"Blocked")</f>
        <v>0</v>
      </c>
      <c r="L5" s="9">
        <f>COUNTIFS('Test Cases'!$J$2:$J$155,"*"&amp;A5&amp;"*",'Test Cases'!$N$2:$N$155,"N/A")</f>
        <v>0</v>
      </c>
      <c r="M5" s="9">
        <f>COUNTIFS('Test Cases'!$J$2:$J$155,"*"&amp;A5&amp;"*",'Test Cases'!$N$2:$N$155,"Not Run")</f>
        <v>4</v>
      </c>
      <c r="N5" s="10">
        <f t="shared" si="0"/>
        <v>0</v>
      </c>
      <c r="O5" s="9" t="str">
        <f t="shared" si="1"/>
        <v>Not run</v>
      </c>
    </row>
    <row r="6" spans="1:15" ht="22.8" x14ac:dyDescent="0.3">
      <c r="A6" s="11" t="s">
        <v>524</v>
      </c>
      <c r="B6" s="15" t="s">
        <v>807</v>
      </c>
      <c r="C6" s="9" t="s">
        <v>817</v>
      </c>
      <c r="D6" s="15" t="s">
        <v>818</v>
      </c>
      <c r="E6" s="9" t="s">
        <v>819</v>
      </c>
      <c r="F6" s="15" t="s">
        <v>820</v>
      </c>
      <c r="G6" s="15" t="s">
        <v>152</v>
      </c>
      <c r="H6" s="9">
        <f>COUNTIF('Test Cases'!$J$2:$J$155,"*"&amp;A6&amp;"*")</f>
        <v>6</v>
      </c>
      <c r="I6" s="9">
        <f>COUNTIFS('Test Cases'!$J$2:$J$155,"*"&amp;A6&amp;"*",'Test Cases'!$N$2:$N$155,"Pass")</f>
        <v>0</v>
      </c>
      <c r="J6" s="9">
        <f>COUNTIFS('Test Cases'!$J$2:$J$155,"*"&amp;A6&amp;"*",'Test Cases'!$N$2:$N$155,"Fail")</f>
        <v>0</v>
      </c>
      <c r="K6" s="9">
        <f>COUNTIFS('Test Cases'!$J$2:$J$155,"*"&amp;A6&amp;"*",'Test Cases'!$N$2:$N$155,"Blocked")</f>
        <v>0</v>
      </c>
      <c r="L6" s="9">
        <f>COUNTIFS('Test Cases'!$J$2:$J$155,"*"&amp;A6&amp;"*",'Test Cases'!$N$2:$N$155,"N/A")</f>
        <v>0</v>
      </c>
      <c r="M6" s="9">
        <f>COUNTIFS('Test Cases'!$J$2:$J$155,"*"&amp;A6&amp;"*",'Test Cases'!$N$2:$N$155,"Not Run")</f>
        <v>6</v>
      </c>
      <c r="N6" s="10">
        <f t="shared" si="0"/>
        <v>0</v>
      </c>
      <c r="O6" s="9" t="str">
        <f t="shared" si="1"/>
        <v>Not run</v>
      </c>
    </row>
    <row r="7" spans="1:15" ht="22.8" x14ac:dyDescent="0.3">
      <c r="A7" s="11" t="s">
        <v>321</v>
      </c>
      <c r="B7" s="15" t="s">
        <v>821</v>
      </c>
      <c r="C7" s="9" t="s">
        <v>822</v>
      </c>
      <c r="D7" s="15" t="s">
        <v>823</v>
      </c>
      <c r="E7" s="9" t="s">
        <v>810</v>
      </c>
      <c r="F7" s="15" t="s">
        <v>824</v>
      </c>
      <c r="G7" s="15" t="s">
        <v>95</v>
      </c>
      <c r="H7" s="9">
        <f>COUNTIF('Test Cases'!$J$2:$J$155,"*"&amp;A7&amp;"*")</f>
        <v>7</v>
      </c>
      <c r="I7" s="9">
        <f>COUNTIFS('Test Cases'!$J$2:$J$155,"*"&amp;A7&amp;"*",'Test Cases'!$N$2:$N$155,"Pass")</f>
        <v>1</v>
      </c>
      <c r="J7" s="9">
        <f>COUNTIFS('Test Cases'!$J$2:$J$155,"*"&amp;A7&amp;"*",'Test Cases'!$N$2:$N$155,"Fail")</f>
        <v>0</v>
      </c>
      <c r="K7" s="9">
        <f>COUNTIFS('Test Cases'!$J$2:$J$155,"*"&amp;A7&amp;"*",'Test Cases'!$N$2:$N$155,"Blocked")</f>
        <v>0</v>
      </c>
      <c r="L7" s="9">
        <f>COUNTIFS('Test Cases'!$J$2:$J$155,"*"&amp;A7&amp;"*",'Test Cases'!$N$2:$N$155,"N/A")</f>
        <v>0</v>
      </c>
      <c r="M7" s="9">
        <f>COUNTIFS('Test Cases'!$J$2:$J$155,"*"&amp;A7&amp;"*",'Test Cases'!$N$2:$N$155,"Not Run")</f>
        <v>6</v>
      </c>
      <c r="N7" s="10">
        <f t="shared" si="0"/>
        <v>0.14285714285714285</v>
      </c>
      <c r="O7" s="9" t="str">
        <f t="shared" si="1"/>
        <v>In progress</v>
      </c>
    </row>
    <row r="8" spans="1:15" ht="22.8" x14ac:dyDescent="0.3">
      <c r="A8" s="11" t="s">
        <v>646</v>
      </c>
      <c r="B8" s="15" t="s">
        <v>821</v>
      </c>
      <c r="C8" s="9" t="s">
        <v>822</v>
      </c>
      <c r="D8" s="15" t="s">
        <v>825</v>
      </c>
      <c r="E8" s="9" t="s">
        <v>810</v>
      </c>
      <c r="F8" s="15" t="s">
        <v>826</v>
      </c>
      <c r="G8" s="15" t="s">
        <v>758</v>
      </c>
      <c r="H8" s="9">
        <f>COUNTIF('Test Cases'!$J$2:$J$155,"*"&amp;A8&amp;"*")</f>
        <v>6</v>
      </c>
      <c r="I8" s="9">
        <f>COUNTIFS('Test Cases'!$J$2:$J$155,"*"&amp;A8&amp;"*",'Test Cases'!$N$2:$N$155,"Pass")</f>
        <v>0</v>
      </c>
      <c r="J8" s="9">
        <f>COUNTIFS('Test Cases'!$J$2:$J$155,"*"&amp;A8&amp;"*",'Test Cases'!$N$2:$N$155,"Fail")</f>
        <v>0</v>
      </c>
      <c r="K8" s="9">
        <f>COUNTIFS('Test Cases'!$J$2:$J$155,"*"&amp;A8&amp;"*",'Test Cases'!$N$2:$N$155,"Blocked")</f>
        <v>0</v>
      </c>
      <c r="L8" s="9">
        <f>COUNTIFS('Test Cases'!$J$2:$J$155,"*"&amp;A8&amp;"*",'Test Cases'!$N$2:$N$155,"N/A")</f>
        <v>0</v>
      </c>
      <c r="M8" s="9">
        <f>COUNTIFS('Test Cases'!$J$2:$J$155,"*"&amp;A8&amp;"*",'Test Cases'!$N$2:$N$155,"Not Run")</f>
        <v>6</v>
      </c>
      <c r="N8" s="10">
        <f t="shared" si="0"/>
        <v>0</v>
      </c>
      <c r="O8" s="9" t="str">
        <f t="shared" si="1"/>
        <v>Not run</v>
      </c>
    </row>
    <row r="9" spans="1:15" ht="22.8" x14ac:dyDescent="0.3">
      <c r="A9" s="11" t="s">
        <v>827</v>
      </c>
      <c r="B9" s="15" t="s">
        <v>821</v>
      </c>
      <c r="C9" s="9" t="s">
        <v>822</v>
      </c>
      <c r="D9" s="15" t="s">
        <v>828</v>
      </c>
      <c r="E9" s="9" t="s">
        <v>810</v>
      </c>
      <c r="F9" s="15" t="s">
        <v>829</v>
      </c>
      <c r="G9" s="15" t="s">
        <v>830</v>
      </c>
      <c r="H9" s="9">
        <f>COUNTIF('Test Cases'!$J$2:$J$155,"*"&amp;A9&amp;"*")</f>
        <v>2</v>
      </c>
      <c r="I9" s="9">
        <f>COUNTIFS('Test Cases'!$J$2:$J$155,"*"&amp;A9&amp;"*",'Test Cases'!$N$2:$N$155,"Pass")</f>
        <v>0</v>
      </c>
      <c r="J9" s="9">
        <f>COUNTIFS('Test Cases'!$J$2:$J$155,"*"&amp;A9&amp;"*",'Test Cases'!$N$2:$N$155,"Fail")</f>
        <v>0</v>
      </c>
      <c r="K9" s="9">
        <f>COUNTIFS('Test Cases'!$J$2:$J$155,"*"&amp;A9&amp;"*",'Test Cases'!$N$2:$N$155,"Blocked")</f>
        <v>0</v>
      </c>
      <c r="L9" s="9">
        <f>COUNTIFS('Test Cases'!$J$2:$J$155,"*"&amp;A9&amp;"*",'Test Cases'!$N$2:$N$155,"N/A")</f>
        <v>0</v>
      </c>
      <c r="M9" s="9">
        <f>COUNTIFS('Test Cases'!$J$2:$J$155,"*"&amp;A9&amp;"*",'Test Cases'!$N$2:$N$155,"Not Run")</f>
        <v>2</v>
      </c>
      <c r="N9" s="10">
        <f t="shared" si="0"/>
        <v>0</v>
      </c>
      <c r="O9" s="9" t="str">
        <f t="shared" si="1"/>
        <v>Not run</v>
      </c>
    </row>
    <row r="10" spans="1:15" ht="22.8" x14ac:dyDescent="0.3">
      <c r="A10" s="11" t="s">
        <v>343</v>
      </c>
      <c r="B10" s="15" t="s">
        <v>821</v>
      </c>
      <c r="C10" s="9" t="s">
        <v>822</v>
      </c>
      <c r="D10" s="15" t="s">
        <v>831</v>
      </c>
      <c r="E10" s="9" t="s">
        <v>810</v>
      </c>
      <c r="F10" s="15" t="s">
        <v>340</v>
      </c>
      <c r="G10" s="15" t="s">
        <v>344</v>
      </c>
      <c r="H10" s="9">
        <f>COUNTIF('Test Cases'!$J$2:$J$155,"*"&amp;A10&amp;"*")</f>
        <v>1</v>
      </c>
      <c r="I10" s="9">
        <f>COUNTIFS('Test Cases'!$J$2:$J$155,"*"&amp;A10&amp;"*",'Test Cases'!$N$2:$N$155,"Pass")</f>
        <v>0</v>
      </c>
      <c r="J10" s="9">
        <f>COUNTIFS('Test Cases'!$J$2:$J$155,"*"&amp;A10&amp;"*",'Test Cases'!$N$2:$N$155,"Fail")</f>
        <v>0</v>
      </c>
      <c r="K10" s="9">
        <f>COUNTIFS('Test Cases'!$J$2:$J$155,"*"&amp;A10&amp;"*",'Test Cases'!$N$2:$N$155,"Blocked")</f>
        <v>0</v>
      </c>
      <c r="L10" s="9">
        <f>COUNTIFS('Test Cases'!$J$2:$J$155,"*"&amp;A10&amp;"*",'Test Cases'!$N$2:$N$155,"N/A")</f>
        <v>0</v>
      </c>
      <c r="M10" s="9">
        <f>COUNTIFS('Test Cases'!$J$2:$J$155,"*"&amp;A10&amp;"*",'Test Cases'!$N$2:$N$155,"Not Run")</f>
        <v>1</v>
      </c>
      <c r="N10" s="10">
        <f t="shared" si="0"/>
        <v>0</v>
      </c>
      <c r="O10" s="9" t="str">
        <f t="shared" si="1"/>
        <v>Not run</v>
      </c>
    </row>
    <row r="11" spans="1:15" x14ac:dyDescent="0.3">
      <c r="A11" s="11" t="s">
        <v>832</v>
      </c>
      <c r="B11" s="15" t="s">
        <v>821</v>
      </c>
      <c r="C11" s="9" t="s">
        <v>822</v>
      </c>
      <c r="D11" s="15" t="s">
        <v>833</v>
      </c>
      <c r="E11" s="9" t="s">
        <v>810</v>
      </c>
      <c r="F11" s="15" t="s">
        <v>322</v>
      </c>
      <c r="G11" s="15" t="s">
        <v>834</v>
      </c>
      <c r="H11" s="9">
        <f>COUNTIF('Test Cases'!$J$2:$J$155,"*"&amp;A11&amp;"*")</f>
        <v>1</v>
      </c>
      <c r="I11" s="9">
        <f>COUNTIFS('Test Cases'!$J$2:$J$155,"*"&amp;A11&amp;"*",'Test Cases'!$N$2:$N$155,"Pass")</f>
        <v>0</v>
      </c>
      <c r="J11" s="9">
        <f>COUNTIFS('Test Cases'!$J$2:$J$155,"*"&amp;A11&amp;"*",'Test Cases'!$N$2:$N$155,"Fail")</f>
        <v>0</v>
      </c>
      <c r="K11" s="9">
        <f>COUNTIFS('Test Cases'!$J$2:$J$155,"*"&amp;A11&amp;"*",'Test Cases'!$N$2:$N$155,"Blocked")</f>
        <v>0</v>
      </c>
      <c r="L11" s="9">
        <f>COUNTIFS('Test Cases'!$J$2:$J$155,"*"&amp;A11&amp;"*",'Test Cases'!$N$2:$N$155,"N/A")</f>
        <v>0</v>
      </c>
      <c r="M11" s="9">
        <f>COUNTIFS('Test Cases'!$J$2:$J$155,"*"&amp;A11&amp;"*",'Test Cases'!$N$2:$N$155,"Not Run")</f>
        <v>1</v>
      </c>
      <c r="N11" s="10">
        <f t="shared" si="0"/>
        <v>0</v>
      </c>
      <c r="O11" s="9" t="str">
        <f t="shared" si="1"/>
        <v>Not run</v>
      </c>
    </row>
    <row r="12" spans="1:15" ht="34.200000000000003" x14ac:dyDescent="0.3">
      <c r="A12" s="11" t="s">
        <v>356</v>
      </c>
      <c r="B12" s="15" t="s">
        <v>821</v>
      </c>
      <c r="C12" s="9" t="s">
        <v>835</v>
      </c>
      <c r="D12" s="15" t="s">
        <v>836</v>
      </c>
      <c r="E12" s="9" t="s">
        <v>819</v>
      </c>
      <c r="F12" s="15" t="s">
        <v>837</v>
      </c>
      <c r="G12" s="15" t="s">
        <v>357</v>
      </c>
      <c r="H12" s="9">
        <f>COUNTIF('Test Cases'!$J$2:$J$155,"*"&amp;A12&amp;"*")</f>
        <v>6</v>
      </c>
      <c r="I12" s="9">
        <f>COUNTIFS('Test Cases'!$J$2:$J$155,"*"&amp;A12&amp;"*",'Test Cases'!$N$2:$N$155,"Pass")</f>
        <v>0</v>
      </c>
      <c r="J12" s="9">
        <f>COUNTIFS('Test Cases'!$J$2:$J$155,"*"&amp;A12&amp;"*",'Test Cases'!$N$2:$N$155,"Fail")</f>
        <v>0</v>
      </c>
      <c r="K12" s="9">
        <f>COUNTIFS('Test Cases'!$J$2:$J$155,"*"&amp;A12&amp;"*",'Test Cases'!$N$2:$N$155,"Blocked")</f>
        <v>0</v>
      </c>
      <c r="L12" s="9">
        <f>COUNTIFS('Test Cases'!$J$2:$J$155,"*"&amp;A12&amp;"*",'Test Cases'!$N$2:$N$155,"N/A")</f>
        <v>0</v>
      </c>
      <c r="M12" s="9">
        <f>COUNTIFS('Test Cases'!$J$2:$J$155,"*"&amp;A12&amp;"*",'Test Cases'!$N$2:$N$155,"Not Run")</f>
        <v>6</v>
      </c>
      <c r="N12" s="10">
        <f t="shared" si="0"/>
        <v>0</v>
      </c>
      <c r="O12" s="9" t="str">
        <f t="shared" si="1"/>
        <v>Not run</v>
      </c>
    </row>
    <row r="13" spans="1:15" ht="22.8" x14ac:dyDescent="0.3">
      <c r="A13" s="11" t="s">
        <v>369</v>
      </c>
      <c r="B13" s="15" t="s">
        <v>838</v>
      </c>
      <c r="C13" s="9" t="s">
        <v>839</v>
      </c>
      <c r="D13" s="15" t="s">
        <v>840</v>
      </c>
      <c r="E13" s="9" t="s">
        <v>810</v>
      </c>
      <c r="F13" s="15" t="s">
        <v>841</v>
      </c>
      <c r="G13" s="15" t="s">
        <v>417</v>
      </c>
      <c r="H13" s="9">
        <f>COUNTIF('Test Cases'!$J$2:$J$155,"*"&amp;A13&amp;"*")</f>
        <v>3</v>
      </c>
      <c r="I13" s="9">
        <f>COUNTIFS('Test Cases'!$J$2:$J$155,"*"&amp;A13&amp;"*",'Test Cases'!$N$2:$N$155,"Pass")</f>
        <v>0</v>
      </c>
      <c r="J13" s="9">
        <f>COUNTIFS('Test Cases'!$J$2:$J$155,"*"&amp;A13&amp;"*",'Test Cases'!$N$2:$N$155,"Fail")</f>
        <v>0</v>
      </c>
      <c r="K13" s="9">
        <f>COUNTIFS('Test Cases'!$J$2:$J$155,"*"&amp;A13&amp;"*",'Test Cases'!$N$2:$N$155,"Blocked")</f>
        <v>0</v>
      </c>
      <c r="L13" s="9">
        <f>COUNTIFS('Test Cases'!$J$2:$J$155,"*"&amp;A13&amp;"*",'Test Cases'!$N$2:$N$155,"N/A")</f>
        <v>0</v>
      </c>
      <c r="M13" s="9">
        <f>COUNTIFS('Test Cases'!$J$2:$J$155,"*"&amp;A13&amp;"*",'Test Cases'!$N$2:$N$155,"Not Run")</f>
        <v>3</v>
      </c>
      <c r="N13" s="10">
        <f t="shared" si="0"/>
        <v>0</v>
      </c>
      <c r="O13" s="9" t="str">
        <f t="shared" si="1"/>
        <v>Not run</v>
      </c>
    </row>
    <row r="14" spans="1:15" ht="22.8" x14ac:dyDescent="0.3">
      <c r="A14" s="11" t="s">
        <v>373</v>
      </c>
      <c r="B14" s="15" t="s">
        <v>838</v>
      </c>
      <c r="C14" s="9" t="s">
        <v>839</v>
      </c>
      <c r="D14" s="15" t="s">
        <v>842</v>
      </c>
      <c r="E14" s="9" t="s">
        <v>810</v>
      </c>
      <c r="F14" s="15" t="s">
        <v>843</v>
      </c>
      <c r="G14" s="15" t="s">
        <v>424</v>
      </c>
      <c r="H14" s="9">
        <f>COUNTIF('Test Cases'!$J$2:$J$155,"*"&amp;A14&amp;"*")</f>
        <v>3</v>
      </c>
      <c r="I14" s="9">
        <f>COUNTIFS('Test Cases'!$J$2:$J$155,"*"&amp;A14&amp;"*",'Test Cases'!$N$2:$N$155,"Pass")</f>
        <v>0</v>
      </c>
      <c r="J14" s="9">
        <f>COUNTIFS('Test Cases'!$J$2:$J$155,"*"&amp;A14&amp;"*",'Test Cases'!$N$2:$N$155,"Fail")</f>
        <v>0</v>
      </c>
      <c r="K14" s="9">
        <f>COUNTIFS('Test Cases'!$J$2:$J$155,"*"&amp;A14&amp;"*",'Test Cases'!$N$2:$N$155,"Blocked")</f>
        <v>0</v>
      </c>
      <c r="L14" s="9">
        <f>COUNTIFS('Test Cases'!$J$2:$J$155,"*"&amp;A14&amp;"*",'Test Cases'!$N$2:$N$155,"N/A")</f>
        <v>0</v>
      </c>
      <c r="M14" s="9">
        <f>COUNTIFS('Test Cases'!$J$2:$J$155,"*"&amp;A14&amp;"*",'Test Cases'!$N$2:$N$155,"Not Run")</f>
        <v>3</v>
      </c>
      <c r="N14" s="10">
        <f t="shared" si="0"/>
        <v>0</v>
      </c>
      <c r="O14" s="9" t="str">
        <f t="shared" si="1"/>
        <v>Not run</v>
      </c>
    </row>
    <row r="15" spans="1:15" ht="22.8" x14ac:dyDescent="0.3">
      <c r="A15" s="11" t="s">
        <v>405</v>
      </c>
      <c r="B15" s="15" t="s">
        <v>838</v>
      </c>
      <c r="C15" s="9" t="s">
        <v>839</v>
      </c>
      <c r="D15" s="15" t="s">
        <v>844</v>
      </c>
      <c r="E15" s="9" t="s">
        <v>810</v>
      </c>
      <c r="F15" s="15" t="s">
        <v>402</v>
      </c>
      <c r="G15" s="15" t="s">
        <v>406</v>
      </c>
      <c r="H15" s="9">
        <f>COUNTIF('Test Cases'!$J$2:$J$155,"*"&amp;A15&amp;"*")</f>
        <v>1</v>
      </c>
      <c r="I15" s="9">
        <f>COUNTIFS('Test Cases'!$J$2:$J$155,"*"&amp;A15&amp;"*",'Test Cases'!$N$2:$N$155,"Pass")</f>
        <v>0</v>
      </c>
      <c r="J15" s="9">
        <f>COUNTIFS('Test Cases'!$J$2:$J$155,"*"&amp;A15&amp;"*",'Test Cases'!$N$2:$N$155,"Fail")</f>
        <v>0</v>
      </c>
      <c r="K15" s="9">
        <f>COUNTIFS('Test Cases'!$J$2:$J$155,"*"&amp;A15&amp;"*",'Test Cases'!$N$2:$N$155,"Blocked")</f>
        <v>0</v>
      </c>
      <c r="L15" s="9">
        <f>COUNTIFS('Test Cases'!$J$2:$J$155,"*"&amp;A15&amp;"*",'Test Cases'!$N$2:$N$155,"N/A")</f>
        <v>0</v>
      </c>
      <c r="M15" s="9">
        <f>COUNTIFS('Test Cases'!$J$2:$J$155,"*"&amp;A15&amp;"*",'Test Cases'!$N$2:$N$155,"Not Run")</f>
        <v>1</v>
      </c>
      <c r="N15" s="10">
        <f t="shared" si="0"/>
        <v>0</v>
      </c>
      <c r="O15" s="9" t="str">
        <f t="shared" si="1"/>
        <v>Not run</v>
      </c>
    </row>
    <row r="16" spans="1:15" ht="22.8" x14ac:dyDescent="0.3">
      <c r="A16" s="11" t="s">
        <v>136</v>
      </c>
      <c r="B16" s="15" t="s">
        <v>838</v>
      </c>
      <c r="C16" s="9" t="s">
        <v>839</v>
      </c>
      <c r="D16" s="15" t="s">
        <v>845</v>
      </c>
      <c r="E16" s="9" t="s">
        <v>810</v>
      </c>
      <c r="F16" s="15" t="s">
        <v>846</v>
      </c>
      <c r="G16" s="15" t="s">
        <v>847</v>
      </c>
      <c r="H16" s="9">
        <f>COUNTIF('Test Cases'!$J$2:$J$155,"*"&amp;A16&amp;"*")</f>
        <v>11</v>
      </c>
      <c r="I16" s="9">
        <f>COUNTIFS('Test Cases'!$J$2:$J$155,"*"&amp;A16&amp;"*",'Test Cases'!$N$2:$N$155,"Pass")</f>
        <v>0</v>
      </c>
      <c r="J16" s="9">
        <f>COUNTIFS('Test Cases'!$J$2:$J$155,"*"&amp;A16&amp;"*",'Test Cases'!$N$2:$N$155,"Fail")</f>
        <v>0</v>
      </c>
      <c r="K16" s="9">
        <f>COUNTIFS('Test Cases'!$J$2:$J$155,"*"&amp;A16&amp;"*",'Test Cases'!$N$2:$N$155,"Blocked")</f>
        <v>0</v>
      </c>
      <c r="L16" s="9">
        <f>COUNTIFS('Test Cases'!$J$2:$J$155,"*"&amp;A16&amp;"*",'Test Cases'!$N$2:$N$155,"N/A")</f>
        <v>0</v>
      </c>
      <c r="M16" s="9">
        <f>COUNTIFS('Test Cases'!$J$2:$J$155,"*"&amp;A16&amp;"*",'Test Cases'!$N$2:$N$155,"Not Run")</f>
        <v>11</v>
      </c>
      <c r="N16" s="10">
        <f t="shared" si="0"/>
        <v>0</v>
      </c>
      <c r="O16" s="9" t="str">
        <f t="shared" si="1"/>
        <v>Not run</v>
      </c>
    </row>
    <row r="17" spans="1:15" ht="34.200000000000003" x14ac:dyDescent="0.3">
      <c r="A17" s="11" t="s">
        <v>388</v>
      </c>
      <c r="B17" s="15" t="s">
        <v>838</v>
      </c>
      <c r="C17" s="9" t="s">
        <v>848</v>
      </c>
      <c r="D17" s="15" t="s">
        <v>849</v>
      </c>
      <c r="E17" s="9" t="s">
        <v>819</v>
      </c>
      <c r="F17" s="15" t="s">
        <v>850</v>
      </c>
      <c r="G17" s="15" t="s">
        <v>851</v>
      </c>
      <c r="H17" s="9">
        <f>COUNTIF('Test Cases'!$J$2:$J$155,"*"&amp;A17&amp;"*")</f>
        <v>4</v>
      </c>
      <c r="I17" s="9">
        <f>COUNTIFS('Test Cases'!$J$2:$J$155,"*"&amp;A17&amp;"*",'Test Cases'!$N$2:$N$155,"Pass")</f>
        <v>0</v>
      </c>
      <c r="J17" s="9">
        <f>COUNTIFS('Test Cases'!$J$2:$J$155,"*"&amp;A17&amp;"*",'Test Cases'!$N$2:$N$155,"Fail")</f>
        <v>0</v>
      </c>
      <c r="K17" s="9">
        <f>COUNTIFS('Test Cases'!$J$2:$J$155,"*"&amp;A17&amp;"*",'Test Cases'!$N$2:$N$155,"Blocked")</f>
        <v>0</v>
      </c>
      <c r="L17" s="9">
        <f>COUNTIFS('Test Cases'!$J$2:$J$155,"*"&amp;A17&amp;"*",'Test Cases'!$N$2:$N$155,"N/A")</f>
        <v>0</v>
      </c>
      <c r="M17" s="9">
        <f>COUNTIFS('Test Cases'!$J$2:$J$155,"*"&amp;A17&amp;"*",'Test Cases'!$N$2:$N$155,"Not Run")</f>
        <v>4</v>
      </c>
      <c r="N17" s="10">
        <f t="shared" si="0"/>
        <v>0</v>
      </c>
      <c r="O17" s="9" t="str">
        <f t="shared" si="1"/>
        <v>Not run</v>
      </c>
    </row>
    <row r="18" spans="1:15" ht="45.6" x14ac:dyDescent="0.3">
      <c r="A18" s="11" t="s">
        <v>110</v>
      </c>
      <c r="B18" s="15" t="s">
        <v>852</v>
      </c>
      <c r="C18" s="9" t="s">
        <v>853</v>
      </c>
      <c r="D18" s="15" t="s">
        <v>854</v>
      </c>
      <c r="E18" s="9" t="s">
        <v>810</v>
      </c>
      <c r="F18" s="15" t="s">
        <v>855</v>
      </c>
      <c r="G18" s="15" t="s">
        <v>786</v>
      </c>
      <c r="H18" s="9">
        <f>COUNTIF('Test Cases'!$J$2:$J$155,"*"&amp;A18&amp;"*")</f>
        <v>19</v>
      </c>
      <c r="I18" s="9">
        <f>COUNTIFS('Test Cases'!$J$2:$J$155,"*"&amp;A18&amp;"*",'Test Cases'!$N$2:$N$155,"Pass")</f>
        <v>1</v>
      </c>
      <c r="J18" s="9">
        <f>COUNTIFS('Test Cases'!$J$2:$J$155,"*"&amp;A18&amp;"*",'Test Cases'!$N$2:$N$155,"Fail")</f>
        <v>0</v>
      </c>
      <c r="K18" s="9">
        <f>COUNTIFS('Test Cases'!$J$2:$J$155,"*"&amp;A18&amp;"*",'Test Cases'!$N$2:$N$155,"Blocked")</f>
        <v>1</v>
      </c>
      <c r="L18" s="9">
        <f>COUNTIFS('Test Cases'!$J$2:$J$155,"*"&amp;A18&amp;"*",'Test Cases'!$N$2:$N$155,"N/A")</f>
        <v>0</v>
      </c>
      <c r="M18" s="9">
        <f>COUNTIFS('Test Cases'!$J$2:$J$155,"*"&amp;A18&amp;"*",'Test Cases'!$N$2:$N$155,"Not Run")</f>
        <v>17</v>
      </c>
      <c r="N18" s="10">
        <f t="shared" si="0"/>
        <v>0.10526315789473684</v>
      </c>
      <c r="O18" s="9" t="str">
        <f t="shared" si="1"/>
        <v>In progress</v>
      </c>
    </row>
    <row r="19" spans="1:15" ht="22.8" x14ac:dyDescent="0.3">
      <c r="A19" s="11" t="s">
        <v>151</v>
      </c>
      <c r="B19" s="15" t="s">
        <v>852</v>
      </c>
      <c r="C19" s="9" t="s">
        <v>853</v>
      </c>
      <c r="D19" s="15" t="s">
        <v>856</v>
      </c>
      <c r="E19" s="9" t="s">
        <v>810</v>
      </c>
      <c r="F19" s="15" t="s">
        <v>857</v>
      </c>
      <c r="G19" s="15" t="s">
        <v>396</v>
      </c>
      <c r="H19" s="9">
        <f>COUNTIF('Test Cases'!$J$2:$J$155,"*"&amp;A19&amp;"*")</f>
        <v>8</v>
      </c>
      <c r="I19" s="9">
        <f>COUNTIFS('Test Cases'!$J$2:$J$155,"*"&amp;A19&amp;"*",'Test Cases'!$N$2:$N$155,"Pass")</f>
        <v>0</v>
      </c>
      <c r="J19" s="9">
        <f>COUNTIFS('Test Cases'!$J$2:$J$155,"*"&amp;A19&amp;"*",'Test Cases'!$N$2:$N$155,"Fail")</f>
        <v>0</v>
      </c>
      <c r="K19" s="9">
        <f>COUNTIFS('Test Cases'!$J$2:$J$155,"*"&amp;A19&amp;"*",'Test Cases'!$N$2:$N$155,"Blocked")</f>
        <v>0</v>
      </c>
      <c r="L19" s="9">
        <f>COUNTIFS('Test Cases'!$J$2:$J$155,"*"&amp;A19&amp;"*",'Test Cases'!$N$2:$N$155,"N/A")</f>
        <v>0</v>
      </c>
      <c r="M19" s="9">
        <f>COUNTIFS('Test Cases'!$J$2:$J$155,"*"&amp;A19&amp;"*",'Test Cases'!$N$2:$N$155,"Not Run")</f>
        <v>8</v>
      </c>
      <c r="N19" s="10">
        <f t="shared" si="0"/>
        <v>0</v>
      </c>
      <c r="O19" s="9" t="str">
        <f t="shared" si="1"/>
        <v>Not run</v>
      </c>
    </row>
    <row r="20" spans="1:15" ht="22.8" x14ac:dyDescent="0.3">
      <c r="A20" s="11" t="s">
        <v>443</v>
      </c>
      <c r="B20" s="15" t="s">
        <v>852</v>
      </c>
      <c r="C20" s="9" t="s">
        <v>853</v>
      </c>
      <c r="D20" s="15" t="s">
        <v>858</v>
      </c>
      <c r="E20" s="9" t="s">
        <v>810</v>
      </c>
      <c r="F20" s="15" t="s">
        <v>859</v>
      </c>
      <c r="G20" s="15" t="s">
        <v>860</v>
      </c>
      <c r="H20" s="9">
        <f>COUNTIF('Test Cases'!$J$2:$J$155,"*"&amp;A20&amp;"*")</f>
        <v>3</v>
      </c>
      <c r="I20" s="9">
        <f>COUNTIFS('Test Cases'!$J$2:$J$155,"*"&amp;A20&amp;"*",'Test Cases'!$N$2:$N$155,"Pass")</f>
        <v>0</v>
      </c>
      <c r="J20" s="9">
        <f>COUNTIFS('Test Cases'!$J$2:$J$155,"*"&amp;A20&amp;"*",'Test Cases'!$N$2:$N$155,"Fail")</f>
        <v>0</v>
      </c>
      <c r="K20" s="9">
        <f>COUNTIFS('Test Cases'!$J$2:$J$155,"*"&amp;A20&amp;"*",'Test Cases'!$N$2:$N$155,"Blocked")</f>
        <v>0</v>
      </c>
      <c r="L20" s="9">
        <f>COUNTIFS('Test Cases'!$J$2:$J$155,"*"&amp;A20&amp;"*",'Test Cases'!$N$2:$N$155,"N/A")</f>
        <v>0</v>
      </c>
      <c r="M20" s="9">
        <f>COUNTIFS('Test Cases'!$J$2:$J$155,"*"&amp;A20&amp;"*",'Test Cases'!$N$2:$N$155,"Not Run")</f>
        <v>3</v>
      </c>
      <c r="N20" s="10">
        <f t="shared" si="0"/>
        <v>0</v>
      </c>
      <c r="O20" s="9" t="str">
        <f t="shared" si="1"/>
        <v>Not run</v>
      </c>
    </row>
    <row r="21" spans="1:15" ht="22.8" x14ac:dyDescent="0.3">
      <c r="A21" s="11" t="s">
        <v>672</v>
      </c>
      <c r="B21" s="15" t="s">
        <v>852</v>
      </c>
      <c r="C21" s="9" t="s">
        <v>853</v>
      </c>
      <c r="D21" s="15" t="s">
        <v>861</v>
      </c>
      <c r="E21" s="9" t="s">
        <v>810</v>
      </c>
      <c r="F21" s="15" t="s">
        <v>667</v>
      </c>
      <c r="G21" s="15" t="s">
        <v>673</v>
      </c>
      <c r="H21" s="9">
        <f>COUNTIF('Test Cases'!$J$2:$J$155,"*"&amp;A21&amp;"*")</f>
        <v>1</v>
      </c>
      <c r="I21" s="9">
        <f>COUNTIFS('Test Cases'!$J$2:$J$155,"*"&amp;A21&amp;"*",'Test Cases'!$N$2:$N$155,"Pass")</f>
        <v>0</v>
      </c>
      <c r="J21" s="9">
        <f>COUNTIFS('Test Cases'!$J$2:$J$155,"*"&amp;A21&amp;"*",'Test Cases'!$N$2:$N$155,"Fail")</f>
        <v>0</v>
      </c>
      <c r="K21" s="9">
        <f>COUNTIFS('Test Cases'!$J$2:$J$155,"*"&amp;A21&amp;"*",'Test Cases'!$N$2:$N$155,"Blocked")</f>
        <v>0</v>
      </c>
      <c r="L21" s="9">
        <f>COUNTIFS('Test Cases'!$J$2:$J$155,"*"&amp;A21&amp;"*",'Test Cases'!$N$2:$N$155,"N/A")</f>
        <v>0</v>
      </c>
      <c r="M21" s="9">
        <f>COUNTIFS('Test Cases'!$J$2:$J$155,"*"&amp;A21&amp;"*",'Test Cases'!$N$2:$N$155,"Not Run")</f>
        <v>1</v>
      </c>
      <c r="N21" s="10">
        <f t="shared" si="0"/>
        <v>0</v>
      </c>
      <c r="O21" s="9" t="str">
        <f t="shared" si="1"/>
        <v>Not run</v>
      </c>
    </row>
    <row r="22" spans="1:15" ht="22.8" x14ac:dyDescent="0.3">
      <c r="A22" s="11" t="s">
        <v>862</v>
      </c>
      <c r="B22" s="15" t="s">
        <v>852</v>
      </c>
      <c r="C22" s="9" t="s">
        <v>863</v>
      </c>
      <c r="D22" s="15" t="s">
        <v>864</v>
      </c>
      <c r="E22" s="9" t="s">
        <v>819</v>
      </c>
      <c r="F22" s="15" t="s">
        <v>865</v>
      </c>
      <c r="G22" s="15" t="s">
        <v>866</v>
      </c>
      <c r="H22" s="9">
        <f>COUNTIF('Test Cases'!$J$2:$J$155,"*"&amp;A22&amp;"*")</f>
        <v>2</v>
      </c>
      <c r="I22" s="9">
        <f>COUNTIFS('Test Cases'!$J$2:$J$155,"*"&amp;A22&amp;"*",'Test Cases'!$N$2:$N$155,"Pass")</f>
        <v>0</v>
      </c>
      <c r="J22" s="9">
        <f>COUNTIFS('Test Cases'!$J$2:$J$155,"*"&amp;A22&amp;"*",'Test Cases'!$N$2:$N$155,"Fail")</f>
        <v>0</v>
      </c>
      <c r="K22" s="9">
        <f>COUNTIFS('Test Cases'!$J$2:$J$155,"*"&amp;A22&amp;"*",'Test Cases'!$N$2:$N$155,"Blocked")</f>
        <v>0</v>
      </c>
      <c r="L22" s="9">
        <f>COUNTIFS('Test Cases'!$J$2:$J$155,"*"&amp;A22&amp;"*",'Test Cases'!$N$2:$N$155,"N/A")</f>
        <v>0</v>
      </c>
      <c r="M22" s="9">
        <f>COUNTIFS('Test Cases'!$J$2:$J$155,"*"&amp;A22&amp;"*",'Test Cases'!$N$2:$N$155,"Not Run")</f>
        <v>2</v>
      </c>
      <c r="N22" s="10">
        <f t="shared" si="0"/>
        <v>0</v>
      </c>
      <c r="O22" s="9" t="str">
        <f t="shared" si="1"/>
        <v>Not run</v>
      </c>
    </row>
    <row r="23" spans="1:15" ht="22.8" x14ac:dyDescent="0.3">
      <c r="A23" s="11" t="s">
        <v>105</v>
      </c>
      <c r="B23" s="15" t="s">
        <v>867</v>
      </c>
      <c r="C23" s="9" t="s">
        <v>868</v>
      </c>
      <c r="D23" s="15" t="s">
        <v>869</v>
      </c>
      <c r="E23" s="9" t="s">
        <v>870</v>
      </c>
      <c r="F23" s="15" t="s">
        <v>871</v>
      </c>
      <c r="G23" s="15" t="s">
        <v>95</v>
      </c>
      <c r="H23" s="9">
        <f>COUNTIF('Test Cases'!$J$2:$J$155,"*"&amp;A23&amp;"*")</f>
        <v>6</v>
      </c>
      <c r="I23" s="9">
        <f>COUNTIFS('Test Cases'!$J$2:$J$155,"*"&amp;A23&amp;"*",'Test Cases'!$N$2:$N$155,"Pass")</f>
        <v>0</v>
      </c>
      <c r="J23" s="9">
        <f>COUNTIFS('Test Cases'!$J$2:$J$155,"*"&amp;A23&amp;"*",'Test Cases'!$N$2:$N$155,"Fail")</f>
        <v>0</v>
      </c>
      <c r="K23" s="9">
        <f>COUNTIFS('Test Cases'!$J$2:$J$155,"*"&amp;A23&amp;"*",'Test Cases'!$N$2:$N$155,"Blocked")</f>
        <v>0</v>
      </c>
      <c r="L23" s="9">
        <f>COUNTIFS('Test Cases'!$J$2:$J$155,"*"&amp;A23&amp;"*",'Test Cases'!$N$2:$N$155,"N/A")</f>
        <v>0</v>
      </c>
      <c r="M23" s="9">
        <f>COUNTIFS('Test Cases'!$J$2:$J$155,"*"&amp;A23&amp;"*",'Test Cases'!$N$2:$N$155,"Not Run")</f>
        <v>6</v>
      </c>
      <c r="N23" s="10">
        <f t="shared" si="0"/>
        <v>0</v>
      </c>
      <c r="O23" s="9" t="str">
        <f t="shared" si="1"/>
        <v>Not run</v>
      </c>
    </row>
    <row r="24" spans="1:15" ht="22.8" x14ac:dyDescent="0.3">
      <c r="A24" s="11" t="s">
        <v>164</v>
      </c>
      <c r="B24" s="15" t="s">
        <v>867</v>
      </c>
      <c r="C24" s="9" t="s">
        <v>868</v>
      </c>
      <c r="D24" s="15" t="s">
        <v>872</v>
      </c>
      <c r="E24" s="9" t="s">
        <v>870</v>
      </c>
      <c r="F24" s="15" t="s">
        <v>873</v>
      </c>
      <c r="G24" s="15" t="s">
        <v>874</v>
      </c>
      <c r="H24" s="9">
        <f>COUNTIF('Test Cases'!$J$2:$J$155,"*"&amp;A24&amp;"*")</f>
        <v>6</v>
      </c>
      <c r="I24" s="9">
        <f>COUNTIFS('Test Cases'!$J$2:$J$155,"*"&amp;A24&amp;"*",'Test Cases'!$N$2:$N$155,"Pass")</f>
        <v>0</v>
      </c>
      <c r="J24" s="9">
        <f>COUNTIFS('Test Cases'!$J$2:$J$155,"*"&amp;A24&amp;"*",'Test Cases'!$N$2:$N$155,"Fail")</f>
        <v>0</v>
      </c>
      <c r="K24" s="9">
        <f>COUNTIFS('Test Cases'!$J$2:$J$155,"*"&amp;A24&amp;"*",'Test Cases'!$N$2:$N$155,"Blocked")</f>
        <v>0</v>
      </c>
      <c r="L24" s="9">
        <f>COUNTIFS('Test Cases'!$J$2:$J$155,"*"&amp;A24&amp;"*",'Test Cases'!$N$2:$N$155,"N/A")</f>
        <v>0</v>
      </c>
      <c r="M24" s="9">
        <f>COUNTIFS('Test Cases'!$J$2:$J$155,"*"&amp;A24&amp;"*",'Test Cases'!$N$2:$N$155,"Not Run")</f>
        <v>6</v>
      </c>
      <c r="N24" s="10">
        <f t="shared" si="0"/>
        <v>0</v>
      </c>
      <c r="O24" s="9" t="str">
        <f t="shared" si="1"/>
        <v>Not run</v>
      </c>
    </row>
    <row r="25" spans="1:15" x14ac:dyDescent="0.3">
      <c r="A25" s="11" t="s">
        <v>875</v>
      </c>
      <c r="B25" s="15" t="s">
        <v>867</v>
      </c>
      <c r="C25" s="9" t="s">
        <v>868</v>
      </c>
      <c r="D25" s="15" t="s">
        <v>876</v>
      </c>
      <c r="E25" s="9" t="s">
        <v>870</v>
      </c>
      <c r="F25" s="15" t="s">
        <v>781</v>
      </c>
      <c r="G25" s="15" t="s">
        <v>786</v>
      </c>
      <c r="H25" s="9">
        <f>COUNTIF('Test Cases'!$J$2:$J$155,"*"&amp;A25&amp;"*")</f>
        <v>1</v>
      </c>
      <c r="I25" s="9">
        <f>COUNTIFS('Test Cases'!$J$2:$J$155,"*"&amp;A25&amp;"*",'Test Cases'!$N$2:$N$155,"Pass")</f>
        <v>0</v>
      </c>
      <c r="J25" s="9">
        <f>COUNTIFS('Test Cases'!$J$2:$J$155,"*"&amp;A25&amp;"*",'Test Cases'!$N$2:$N$155,"Fail")</f>
        <v>0</v>
      </c>
      <c r="K25" s="9">
        <f>COUNTIFS('Test Cases'!$J$2:$J$155,"*"&amp;A25&amp;"*",'Test Cases'!$N$2:$N$155,"Blocked")</f>
        <v>0</v>
      </c>
      <c r="L25" s="9">
        <f>COUNTIFS('Test Cases'!$J$2:$J$155,"*"&amp;A25&amp;"*",'Test Cases'!$N$2:$N$155,"N/A")</f>
        <v>0</v>
      </c>
      <c r="M25" s="9">
        <f>COUNTIFS('Test Cases'!$J$2:$J$155,"*"&amp;A25&amp;"*",'Test Cases'!$N$2:$N$155,"Not Run")</f>
        <v>1</v>
      </c>
      <c r="N25" s="10">
        <f t="shared" si="0"/>
        <v>0</v>
      </c>
      <c r="O25" s="9" t="str">
        <f t="shared" si="1"/>
        <v>Not run</v>
      </c>
    </row>
    <row r="26" spans="1:15" x14ac:dyDescent="0.3">
      <c r="A26" s="11" t="s">
        <v>241</v>
      </c>
      <c r="B26" s="15" t="s">
        <v>877</v>
      </c>
      <c r="C26" s="9" t="s">
        <v>878</v>
      </c>
      <c r="D26" s="15" t="s">
        <v>879</v>
      </c>
      <c r="E26" s="9" t="s">
        <v>880</v>
      </c>
      <c r="F26" s="15" t="s">
        <v>881</v>
      </c>
      <c r="G26" s="15" t="s">
        <v>768</v>
      </c>
      <c r="H26" s="9">
        <f>COUNTIF('Test Cases'!$J$2:$J$155,"*"&amp;A26&amp;"*")</f>
        <v>6</v>
      </c>
      <c r="I26" s="9">
        <f>COUNTIFS('Test Cases'!$J$2:$J$155,"*"&amp;A26&amp;"*",'Test Cases'!$N$2:$N$155,"Pass")</f>
        <v>1</v>
      </c>
      <c r="J26" s="9">
        <f>COUNTIFS('Test Cases'!$J$2:$J$155,"*"&amp;A26&amp;"*",'Test Cases'!$N$2:$N$155,"Fail")</f>
        <v>0</v>
      </c>
      <c r="K26" s="9">
        <f>COUNTIFS('Test Cases'!$J$2:$J$155,"*"&amp;A26&amp;"*",'Test Cases'!$N$2:$N$155,"Blocked")</f>
        <v>0</v>
      </c>
      <c r="L26" s="9">
        <f>COUNTIFS('Test Cases'!$J$2:$J$155,"*"&amp;A26&amp;"*",'Test Cases'!$N$2:$N$155,"N/A")</f>
        <v>0</v>
      </c>
      <c r="M26" s="9">
        <f>COUNTIFS('Test Cases'!$J$2:$J$155,"*"&amp;A26&amp;"*",'Test Cases'!$N$2:$N$155,"Not Run")</f>
        <v>5</v>
      </c>
      <c r="N26" s="10">
        <f t="shared" si="0"/>
        <v>0.16666666666666666</v>
      </c>
      <c r="O26" s="9" t="str">
        <f t="shared" si="1"/>
        <v>In progress</v>
      </c>
    </row>
    <row r="27" spans="1:15" x14ac:dyDescent="0.3">
      <c r="A27" s="11" t="s">
        <v>292</v>
      </c>
      <c r="B27" s="15" t="s">
        <v>877</v>
      </c>
      <c r="C27" s="9" t="s">
        <v>878</v>
      </c>
      <c r="D27" s="15" t="s">
        <v>882</v>
      </c>
      <c r="E27" s="9" t="s">
        <v>880</v>
      </c>
      <c r="F27" s="15" t="s">
        <v>883</v>
      </c>
      <c r="G27" s="15" t="s">
        <v>293</v>
      </c>
      <c r="H27" s="9">
        <f>COUNTIF('Test Cases'!$J$2:$J$155,"*"&amp;A27&amp;"*")</f>
        <v>4</v>
      </c>
      <c r="I27" s="9">
        <f>COUNTIFS('Test Cases'!$J$2:$J$155,"*"&amp;A27&amp;"*",'Test Cases'!$N$2:$N$155,"Pass")</f>
        <v>0</v>
      </c>
      <c r="J27" s="9">
        <f>COUNTIFS('Test Cases'!$J$2:$J$155,"*"&amp;A27&amp;"*",'Test Cases'!$N$2:$N$155,"Fail")</f>
        <v>0</v>
      </c>
      <c r="K27" s="9">
        <f>COUNTIFS('Test Cases'!$J$2:$J$155,"*"&amp;A27&amp;"*",'Test Cases'!$N$2:$N$155,"Blocked")</f>
        <v>0</v>
      </c>
      <c r="L27" s="9">
        <f>COUNTIFS('Test Cases'!$J$2:$J$155,"*"&amp;A27&amp;"*",'Test Cases'!$N$2:$N$155,"N/A")</f>
        <v>0</v>
      </c>
      <c r="M27" s="9">
        <f>COUNTIFS('Test Cases'!$J$2:$J$155,"*"&amp;A27&amp;"*",'Test Cases'!$N$2:$N$155,"Not Run")</f>
        <v>4</v>
      </c>
      <c r="N27" s="10">
        <f t="shared" si="0"/>
        <v>0</v>
      </c>
      <c r="O27" s="9" t="str">
        <f t="shared" si="1"/>
        <v>Not run</v>
      </c>
    </row>
    <row r="28" spans="1:15" ht="22.8" x14ac:dyDescent="0.3">
      <c r="A28" s="11" t="s">
        <v>458</v>
      </c>
      <c r="B28" s="15" t="s">
        <v>877</v>
      </c>
      <c r="C28" s="9" t="s">
        <v>878</v>
      </c>
      <c r="D28" s="15" t="s">
        <v>884</v>
      </c>
      <c r="E28" s="9" t="s">
        <v>880</v>
      </c>
      <c r="F28" s="15" t="s">
        <v>454</v>
      </c>
      <c r="G28" s="15" t="s">
        <v>459</v>
      </c>
      <c r="H28" s="9">
        <f>COUNTIF('Test Cases'!$J$2:$J$155,"*"&amp;A28&amp;"*")</f>
        <v>1</v>
      </c>
      <c r="I28" s="9">
        <f>COUNTIFS('Test Cases'!$J$2:$J$155,"*"&amp;A28&amp;"*",'Test Cases'!$N$2:$N$155,"Pass")</f>
        <v>0</v>
      </c>
      <c r="J28" s="9">
        <f>COUNTIFS('Test Cases'!$J$2:$J$155,"*"&amp;A28&amp;"*",'Test Cases'!$N$2:$N$155,"Fail")</f>
        <v>0</v>
      </c>
      <c r="K28" s="9">
        <f>COUNTIFS('Test Cases'!$J$2:$J$155,"*"&amp;A28&amp;"*",'Test Cases'!$N$2:$N$155,"Blocked")</f>
        <v>0</v>
      </c>
      <c r="L28" s="9">
        <f>COUNTIFS('Test Cases'!$J$2:$J$155,"*"&amp;A28&amp;"*",'Test Cases'!$N$2:$N$155,"N/A")</f>
        <v>0</v>
      </c>
      <c r="M28" s="9">
        <f>COUNTIFS('Test Cases'!$J$2:$J$155,"*"&amp;A28&amp;"*",'Test Cases'!$N$2:$N$155,"Not Run")</f>
        <v>1</v>
      </c>
      <c r="N28" s="10">
        <f t="shared" si="0"/>
        <v>0</v>
      </c>
      <c r="O28" s="9" t="str">
        <f t="shared" si="1"/>
        <v>Not run</v>
      </c>
    </row>
    <row r="29" spans="1:15" ht="22.8" x14ac:dyDescent="0.3">
      <c r="A29" s="11" t="s">
        <v>363</v>
      </c>
      <c r="B29" s="15" t="s">
        <v>877</v>
      </c>
      <c r="C29" s="9" t="s">
        <v>878</v>
      </c>
      <c r="D29" s="15" t="s">
        <v>885</v>
      </c>
      <c r="E29" s="9" t="s">
        <v>880</v>
      </c>
      <c r="F29" s="15" t="s">
        <v>886</v>
      </c>
      <c r="G29" s="15" t="s">
        <v>887</v>
      </c>
      <c r="H29" s="9">
        <f>COUNTIF('Test Cases'!$J$2:$J$155,"*"&amp;A29&amp;"*")</f>
        <v>2</v>
      </c>
      <c r="I29" s="9">
        <f>COUNTIFS('Test Cases'!$J$2:$J$155,"*"&amp;A29&amp;"*",'Test Cases'!$N$2:$N$155,"Pass")</f>
        <v>0</v>
      </c>
      <c r="J29" s="9">
        <f>COUNTIFS('Test Cases'!$J$2:$J$155,"*"&amp;A29&amp;"*",'Test Cases'!$N$2:$N$155,"Fail")</f>
        <v>0</v>
      </c>
      <c r="K29" s="9">
        <f>COUNTIFS('Test Cases'!$J$2:$J$155,"*"&amp;A29&amp;"*",'Test Cases'!$N$2:$N$155,"Blocked")</f>
        <v>0</v>
      </c>
      <c r="L29" s="9">
        <f>COUNTIFS('Test Cases'!$J$2:$J$155,"*"&amp;A29&amp;"*",'Test Cases'!$N$2:$N$155,"N/A")</f>
        <v>0</v>
      </c>
      <c r="M29" s="9">
        <f>COUNTIFS('Test Cases'!$J$2:$J$155,"*"&amp;A29&amp;"*",'Test Cases'!$N$2:$N$155,"Not Run")</f>
        <v>2</v>
      </c>
      <c r="N29" s="10">
        <f t="shared" si="0"/>
        <v>0</v>
      </c>
      <c r="O29" s="9" t="str">
        <f t="shared" si="1"/>
        <v>Not run</v>
      </c>
    </row>
    <row r="30" spans="1:15" x14ac:dyDescent="0.3">
      <c r="A30" s="11" t="s">
        <v>679</v>
      </c>
      <c r="B30" s="15" t="s">
        <v>47</v>
      </c>
      <c r="C30" s="9" t="s">
        <v>888</v>
      </c>
      <c r="D30" s="15" t="s">
        <v>889</v>
      </c>
      <c r="E30" s="9" t="s">
        <v>810</v>
      </c>
      <c r="F30" s="15" t="s">
        <v>674</v>
      </c>
      <c r="G30" s="15" t="s">
        <v>95</v>
      </c>
      <c r="H30" s="9">
        <f>COUNTIF('Test Cases'!$J$2:$J$155,"*"&amp;A30&amp;"*")</f>
        <v>1</v>
      </c>
      <c r="I30" s="9">
        <f>COUNTIFS('Test Cases'!$J$2:$J$155,"*"&amp;A30&amp;"*",'Test Cases'!$N$2:$N$155,"Pass")</f>
        <v>0</v>
      </c>
      <c r="J30" s="9">
        <f>COUNTIFS('Test Cases'!$J$2:$J$155,"*"&amp;A30&amp;"*",'Test Cases'!$N$2:$N$155,"Fail")</f>
        <v>0</v>
      </c>
      <c r="K30" s="9">
        <f>COUNTIFS('Test Cases'!$J$2:$J$155,"*"&amp;A30&amp;"*",'Test Cases'!$N$2:$N$155,"Blocked")</f>
        <v>0</v>
      </c>
      <c r="L30" s="9">
        <f>COUNTIFS('Test Cases'!$J$2:$J$155,"*"&amp;A30&amp;"*",'Test Cases'!$N$2:$N$155,"N/A")</f>
        <v>0</v>
      </c>
      <c r="M30" s="9">
        <f>COUNTIFS('Test Cases'!$J$2:$J$155,"*"&amp;A30&amp;"*",'Test Cases'!$N$2:$N$155,"Not Run")</f>
        <v>1</v>
      </c>
      <c r="N30" s="10">
        <f t="shared" si="0"/>
        <v>0</v>
      </c>
      <c r="O30" s="9" t="str">
        <f t="shared" si="1"/>
        <v>Not run</v>
      </c>
    </row>
    <row r="31" spans="1:15" ht="22.8" x14ac:dyDescent="0.3">
      <c r="A31" s="11" t="s">
        <v>686</v>
      </c>
      <c r="B31" s="15" t="s">
        <v>47</v>
      </c>
      <c r="C31" s="9" t="s">
        <v>888</v>
      </c>
      <c r="D31" s="15" t="s">
        <v>890</v>
      </c>
      <c r="E31" s="9" t="s">
        <v>810</v>
      </c>
      <c r="F31" s="15" t="s">
        <v>681</v>
      </c>
      <c r="G31" s="15" t="s">
        <v>95</v>
      </c>
      <c r="H31" s="9">
        <f>COUNTIF('Test Cases'!$J$2:$J$155,"*"&amp;A31&amp;"*")</f>
        <v>1</v>
      </c>
      <c r="I31" s="9">
        <f>COUNTIFS('Test Cases'!$J$2:$J$155,"*"&amp;A31&amp;"*",'Test Cases'!$N$2:$N$155,"Pass")</f>
        <v>0</v>
      </c>
      <c r="J31" s="9">
        <f>COUNTIFS('Test Cases'!$J$2:$J$155,"*"&amp;A31&amp;"*",'Test Cases'!$N$2:$N$155,"Fail")</f>
        <v>0</v>
      </c>
      <c r="K31" s="9">
        <f>COUNTIFS('Test Cases'!$J$2:$J$155,"*"&amp;A31&amp;"*",'Test Cases'!$N$2:$N$155,"Blocked")</f>
        <v>0</v>
      </c>
      <c r="L31" s="9">
        <f>COUNTIFS('Test Cases'!$J$2:$J$155,"*"&amp;A31&amp;"*",'Test Cases'!$N$2:$N$155,"N/A")</f>
        <v>0</v>
      </c>
      <c r="M31" s="9">
        <f>COUNTIFS('Test Cases'!$J$2:$J$155,"*"&amp;A31&amp;"*",'Test Cases'!$N$2:$N$155,"Not Run")</f>
        <v>1</v>
      </c>
      <c r="N31" s="10">
        <f t="shared" si="0"/>
        <v>0</v>
      </c>
      <c r="O31" s="9" t="str">
        <f t="shared" si="1"/>
        <v>Not run</v>
      </c>
    </row>
    <row r="32" spans="1:15" x14ac:dyDescent="0.3">
      <c r="A32" s="11" t="s">
        <v>277</v>
      </c>
      <c r="B32" s="15" t="s">
        <v>47</v>
      </c>
      <c r="C32" s="9" t="s">
        <v>891</v>
      </c>
      <c r="D32" s="15" t="s">
        <v>892</v>
      </c>
      <c r="E32" s="9" t="s">
        <v>810</v>
      </c>
      <c r="F32" s="15" t="s">
        <v>273</v>
      </c>
      <c r="G32" s="15" t="s">
        <v>95</v>
      </c>
      <c r="H32" s="9">
        <f>COUNTIF('Test Cases'!$J$2:$J$155,"*"&amp;A32&amp;"*")</f>
        <v>1</v>
      </c>
      <c r="I32" s="9">
        <f>COUNTIFS('Test Cases'!$J$2:$J$155,"*"&amp;A32&amp;"*",'Test Cases'!$N$2:$N$155,"Pass")</f>
        <v>0</v>
      </c>
      <c r="J32" s="9">
        <f>COUNTIFS('Test Cases'!$J$2:$J$155,"*"&amp;A32&amp;"*",'Test Cases'!$N$2:$N$155,"Fail")</f>
        <v>0</v>
      </c>
      <c r="K32" s="9">
        <f>COUNTIFS('Test Cases'!$J$2:$J$155,"*"&amp;A32&amp;"*",'Test Cases'!$N$2:$N$155,"Blocked")</f>
        <v>0</v>
      </c>
      <c r="L32" s="9">
        <f>COUNTIFS('Test Cases'!$J$2:$J$155,"*"&amp;A32&amp;"*",'Test Cases'!$N$2:$N$155,"N/A")</f>
        <v>0</v>
      </c>
      <c r="M32" s="9">
        <f>COUNTIFS('Test Cases'!$J$2:$J$155,"*"&amp;A32&amp;"*",'Test Cases'!$N$2:$N$155,"Not Run")</f>
        <v>1</v>
      </c>
      <c r="N32" s="10">
        <f t="shared" si="0"/>
        <v>0</v>
      </c>
      <c r="O32" s="9" t="str">
        <f t="shared" si="1"/>
        <v>Not run</v>
      </c>
    </row>
    <row r="33" spans="1:15" ht="22.8" x14ac:dyDescent="0.3">
      <c r="A33" s="11" t="s">
        <v>349</v>
      </c>
      <c r="B33" s="15" t="s">
        <v>47</v>
      </c>
      <c r="C33" s="9" t="s">
        <v>190</v>
      </c>
      <c r="D33" s="15" t="s">
        <v>893</v>
      </c>
      <c r="E33" s="9" t="s">
        <v>810</v>
      </c>
      <c r="F33" s="15" t="s">
        <v>345</v>
      </c>
      <c r="G33" s="15" t="s">
        <v>350</v>
      </c>
      <c r="H33" s="9">
        <f>COUNTIF('Test Cases'!$J$2:$J$155,"*"&amp;A33&amp;"*")</f>
        <v>1</v>
      </c>
      <c r="I33" s="9">
        <f>COUNTIFS('Test Cases'!$J$2:$J$155,"*"&amp;A33&amp;"*",'Test Cases'!$N$2:$N$155,"Pass")</f>
        <v>0</v>
      </c>
      <c r="J33" s="9">
        <f>COUNTIFS('Test Cases'!$J$2:$J$155,"*"&amp;A33&amp;"*",'Test Cases'!$N$2:$N$155,"Fail")</f>
        <v>0</v>
      </c>
      <c r="K33" s="9">
        <f>COUNTIFS('Test Cases'!$J$2:$J$155,"*"&amp;A33&amp;"*",'Test Cases'!$N$2:$N$155,"Blocked")</f>
        <v>0</v>
      </c>
      <c r="L33" s="9">
        <f>COUNTIFS('Test Cases'!$J$2:$J$155,"*"&amp;A33&amp;"*",'Test Cases'!$N$2:$N$155,"N/A")</f>
        <v>0</v>
      </c>
      <c r="M33" s="9">
        <f>COUNTIFS('Test Cases'!$J$2:$J$155,"*"&amp;A33&amp;"*",'Test Cases'!$N$2:$N$155,"Not Run")</f>
        <v>1</v>
      </c>
      <c r="N33" s="10">
        <f t="shared" si="0"/>
        <v>0</v>
      </c>
      <c r="O33" s="9" t="str">
        <f t="shared" si="1"/>
        <v>Not run</v>
      </c>
    </row>
    <row r="34" spans="1:15" ht="34.200000000000003" x14ac:dyDescent="0.3">
      <c r="A34" s="11" t="s">
        <v>191</v>
      </c>
      <c r="B34" s="15" t="s">
        <v>47</v>
      </c>
      <c r="C34" s="9" t="s">
        <v>190</v>
      </c>
      <c r="D34" s="15" t="s">
        <v>894</v>
      </c>
      <c r="E34" s="9" t="s">
        <v>810</v>
      </c>
      <c r="F34" s="15" t="s">
        <v>895</v>
      </c>
      <c r="G34" s="15" t="s">
        <v>896</v>
      </c>
      <c r="H34" s="9">
        <f>COUNTIF('Test Cases'!$J$2:$J$155,"*"&amp;A34&amp;"*")</f>
        <v>15</v>
      </c>
      <c r="I34" s="9">
        <f>COUNTIFS('Test Cases'!$J$2:$J$155,"*"&amp;A34&amp;"*",'Test Cases'!$N$2:$N$155,"Pass")</f>
        <v>4</v>
      </c>
      <c r="J34" s="9">
        <f>COUNTIFS('Test Cases'!$J$2:$J$155,"*"&amp;A34&amp;"*",'Test Cases'!$N$2:$N$155,"Fail")</f>
        <v>1</v>
      </c>
      <c r="K34" s="9">
        <f>COUNTIFS('Test Cases'!$J$2:$J$155,"*"&amp;A34&amp;"*",'Test Cases'!$N$2:$N$155,"Blocked")</f>
        <v>0</v>
      </c>
      <c r="L34" s="9">
        <f>COUNTIFS('Test Cases'!$J$2:$J$155,"*"&amp;A34&amp;"*",'Test Cases'!$N$2:$N$155,"N/A")</f>
        <v>0</v>
      </c>
      <c r="M34" s="9">
        <f>COUNTIFS('Test Cases'!$J$2:$J$155,"*"&amp;A34&amp;"*",'Test Cases'!$N$2:$N$155,"Not Run")</f>
        <v>10</v>
      </c>
      <c r="N34" s="10">
        <f t="shared" si="0"/>
        <v>0.33333333333333331</v>
      </c>
      <c r="O34" s="9" t="str">
        <f t="shared" si="1"/>
        <v>Fail</v>
      </c>
    </row>
    <row r="35" spans="1:15" x14ac:dyDescent="0.3">
      <c r="A35" s="11" t="s">
        <v>287</v>
      </c>
      <c r="B35" s="15" t="s">
        <v>47</v>
      </c>
      <c r="C35" s="9" t="s">
        <v>303</v>
      </c>
      <c r="D35" s="15" t="s">
        <v>897</v>
      </c>
      <c r="E35" s="9" t="s">
        <v>810</v>
      </c>
      <c r="F35" s="15" t="s">
        <v>898</v>
      </c>
      <c r="G35" s="15" t="s">
        <v>95</v>
      </c>
      <c r="H35" s="9">
        <f>COUNTIF('Test Cases'!$J$2:$J$155,"*"&amp;A35&amp;"*")</f>
        <v>4</v>
      </c>
      <c r="I35" s="9">
        <f>COUNTIFS('Test Cases'!$J$2:$J$155,"*"&amp;A35&amp;"*",'Test Cases'!$N$2:$N$155,"Pass")</f>
        <v>0</v>
      </c>
      <c r="J35" s="9">
        <f>COUNTIFS('Test Cases'!$J$2:$J$155,"*"&amp;A35&amp;"*",'Test Cases'!$N$2:$N$155,"Fail")</f>
        <v>0</v>
      </c>
      <c r="K35" s="9">
        <f>COUNTIFS('Test Cases'!$J$2:$J$155,"*"&amp;A35&amp;"*",'Test Cases'!$N$2:$N$155,"Blocked")</f>
        <v>0</v>
      </c>
      <c r="L35" s="9">
        <f>COUNTIFS('Test Cases'!$J$2:$J$155,"*"&amp;A35&amp;"*",'Test Cases'!$N$2:$N$155,"N/A")</f>
        <v>0</v>
      </c>
      <c r="M35" s="9">
        <f>COUNTIFS('Test Cases'!$J$2:$J$155,"*"&amp;A35&amp;"*",'Test Cases'!$N$2:$N$155,"Not Run")</f>
        <v>4</v>
      </c>
      <c r="N35" s="10">
        <f t="shared" si="0"/>
        <v>0</v>
      </c>
      <c r="O35" s="9" t="str">
        <f t="shared" si="1"/>
        <v>Not run</v>
      </c>
    </row>
    <row r="36" spans="1:15" ht="22.8" x14ac:dyDescent="0.3">
      <c r="A36" s="11" t="s">
        <v>899</v>
      </c>
      <c r="B36" s="15" t="s">
        <v>900</v>
      </c>
      <c r="C36" s="9" t="s">
        <v>901</v>
      </c>
      <c r="D36" s="15" t="s">
        <v>902</v>
      </c>
      <c r="E36" s="9" t="s">
        <v>903</v>
      </c>
      <c r="F36" s="15" t="s">
        <v>904</v>
      </c>
      <c r="G36" s="15" t="s">
        <v>905</v>
      </c>
      <c r="H36" s="9">
        <f>COUNTIF('Test Cases'!$J$2:$J$155,"*"&amp;A36&amp;"*")</f>
        <v>3</v>
      </c>
      <c r="I36" s="9">
        <f>COUNTIFS('Test Cases'!$J$2:$J$155,"*"&amp;A36&amp;"*",'Test Cases'!$N$2:$N$155,"Pass")</f>
        <v>0</v>
      </c>
      <c r="J36" s="9">
        <f>COUNTIFS('Test Cases'!$J$2:$J$155,"*"&amp;A36&amp;"*",'Test Cases'!$N$2:$N$155,"Fail")</f>
        <v>0</v>
      </c>
      <c r="K36" s="9">
        <f>COUNTIFS('Test Cases'!$J$2:$J$155,"*"&amp;A36&amp;"*",'Test Cases'!$N$2:$N$155,"Blocked")</f>
        <v>0</v>
      </c>
      <c r="L36" s="9">
        <f>COUNTIFS('Test Cases'!$J$2:$J$155,"*"&amp;A36&amp;"*",'Test Cases'!$N$2:$N$155,"N/A")</f>
        <v>0</v>
      </c>
      <c r="M36" s="9">
        <f>COUNTIFS('Test Cases'!$J$2:$J$155,"*"&amp;A36&amp;"*",'Test Cases'!$N$2:$N$155,"Not Run")</f>
        <v>3</v>
      </c>
      <c r="N36" s="10">
        <f t="shared" si="0"/>
        <v>0</v>
      </c>
      <c r="O36" s="9" t="str">
        <f t="shared" si="1"/>
        <v>Not run</v>
      </c>
    </row>
    <row r="37" spans="1:15" ht="22.8" x14ac:dyDescent="0.3">
      <c r="A37" s="11" t="s">
        <v>906</v>
      </c>
      <c r="B37" s="15" t="s">
        <v>900</v>
      </c>
      <c r="C37" s="9" t="s">
        <v>907</v>
      </c>
      <c r="D37" s="15" t="s">
        <v>908</v>
      </c>
      <c r="E37" s="9" t="s">
        <v>903</v>
      </c>
      <c r="F37" s="15" t="s">
        <v>333</v>
      </c>
      <c r="G37" s="15" t="s">
        <v>909</v>
      </c>
      <c r="H37" s="9">
        <f>COUNTIF('Test Cases'!$J$2:$J$155,"*"&amp;A37&amp;"*")</f>
        <v>1</v>
      </c>
      <c r="I37" s="9">
        <f>COUNTIFS('Test Cases'!$J$2:$J$155,"*"&amp;A37&amp;"*",'Test Cases'!$N$2:$N$155,"Pass")</f>
        <v>0</v>
      </c>
      <c r="J37" s="9">
        <f>COUNTIFS('Test Cases'!$J$2:$J$155,"*"&amp;A37&amp;"*",'Test Cases'!$N$2:$N$155,"Fail")</f>
        <v>0</v>
      </c>
      <c r="K37" s="9">
        <f>COUNTIFS('Test Cases'!$J$2:$J$155,"*"&amp;A37&amp;"*",'Test Cases'!$N$2:$N$155,"Blocked")</f>
        <v>0</v>
      </c>
      <c r="L37" s="9">
        <f>COUNTIFS('Test Cases'!$J$2:$J$155,"*"&amp;A37&amp;"*",'Test Cases'!$N$2:$N$155,"N/A")</f>
        <v>0</v>
      </c>
      <c r="M37" s="9">
        <f>COUNTIFS('Test Cases'!$J$2:$J$155,"*"&amp;A37&amp;"*",'Test Cases'!$N$2:$N$155,"Not Run")</f>
        <v>1</v>
      </c>
      <c r="N37" s="10">
        <f t="shared" si="0"/>
        <v>0</v>
      </c>
      <c r="O37" s="9" t="str">
        <f t="shared" si="1"/>
        <v>Not run</v>
      </c>
    </row>
    <row r="38" spans="1:15" x14ac:dyDescent="0.3">
      <c r="A38" s="11" t="s">
        <v>910</v>
      </c>
      <c r="B38" s="15" t="s">
        <v>900</v>
      </c>
      <c r="C38" s="9" t="s">
        <v>911</v>
      </c>
      <c r="D38" s="15" t="s">
        <v>912</v>
      </c>
      <c r="E38" s="9" t="s">
        <v>903</v>
      </c>
      <c r="F38" s="15" t="s">
        <v>913</v>
      </c>
      <c r="G38" s="15" t="s">
        <v>514</v>
      </c>
      <c r="H38" s="9">
        <f>COUNTIF('Test Cases'!$J$2:$J$155,"*"&amp;A38&amp;"*")</f>
        <v>2</v>
      </c>
      <c r="I38" s="9">
        <f>COUNTIFS('Test Cases'!$J$2:$J$155,"*"&amp;A38&amp;"*",'Test Cases'!$N$2:$N$155,"Pass")</f>
        <v>0</v>
      </c>
      <c r="J38" s="9">
        <f>COUNTIFS('Test Cases'!$J$2:$J$155,"*"&amp;A38&amp;"*",'Test Cases'!$N$2:$N$155,"Fail")</f>
        <v>0</v>
      </c>
      <c r="K38" s="9">
        <f>COUNTIFS('Test Cases'!$J$2:$J$155,"*"&amp;A38&amp;"*",'Test Cases'!$N$2:$N$155,"Blocked")</f>
        <v>0</v>
      </c>
      <c r="L38" s="9">
        <f>COUNTIFS('Test Cases'!$J$2:$J$155,"*"&amp;A38&amp;"*",'Test Cases'!$N$2:$N$155,"N/A")</f>
        <v>0</v>
      </c>
      <c r="M38" s="9">
        <f>COUNTIFS('Test Cases'!$J$2:$J$155,"*"&amp;A38&amp;"*",'Test Cases'!$N$2:$N$155,"Not Run")</f>
        <v>2</v>
      </c>
      <c r="N38" s="10">
        <f t="shared" si="0"/>
        <v>0</v>
      </c>
      <c r="O38" s="9" t="str">
        <f t="shared" si="1"/>
        <v>Not run</v>
      </c>
    </row>
    <row r="39" spans="1:15" ht="22.8" x14ac:dyDescent="0.3">
      <c r="A39" s="11" t="s">
        <v>914</v>
      </c>
      <c r="B39" s="15" t="s">
        <v>915</v>
      </c>
      <c r="C39" s="9" t="s">
        <v>916</v>
      </c>
      <c r="D39" s="15" t="s">
        <v>917</v>
      </c>
      <c r="E39" s="9" t="s">
        <v>918</v>
      </c>
      <c r="F39" s="15" t="s">
        <v>919</v>
      </c>
      <c r="G39" s="15" t="s">
        <v>572</v>
      </c>
      <c r="H39" s="9">
        <f>COUNTIF('Test Cases'!$J$2:$J$155,"*"&amp;A39&amp;"*")</f>
        <v>2</v>
      </c>
      <c r="I39" s="9">
        <f>COUNTIFS('Test Cases'!$J$2:$J$155,"*"&amp;A39&amp;"*",'Test Cases'!$N$2:$N$155,"Pass")</f>
        <v>1</v>
      </c>
      <c r="J39" s="9">
        <f>COUNTIFS('Test Cases'!$J$2:$J$155,"*"&amp;A39&amp;"*",'Test Cases'!$N$2:$N$155,"Fail")</f>
        <v>1</v>
      </c>
      <c r="K39" s="9">
        <f>COUNTIFS('Test Cases'!$J$2:$J$155,"*"&amp;A39&amp;"*",'Test Cases'!$N$2:$N$155,"Blocked")</f>
        <v>0</v>
      </c>
      <c r="L39" s="9">
        <f>COUNTIFS('Test Cases'!$J$2:$J$155,"*"&amp;A39&amp;"*",'Test Cases'!$N$2:$N$155,"N/A")</f>
        <v>0</v>
      </c>
      <c r="M39" s="9">
        <f>COUNTIFS('Test Cases'!$J$2:$J$155,"*"&amp;A39&amp;"*",'Test Cases'!$N$2:$N$155,"Not Run")</f>
        <v>0</v>
      </c>
      <c r="N39" s="10">
        <f t="shared" si="0"/>
        <v>1</v>
      </c>
      <c r="O39" s="9" t="str">
        <f t="shared" si="1"/>
        <v>Fail</v>
      </c>
    </row>
    <row r="40" spans="1:15" ht="22.8" x14ac:dyDescent="0.3">
      <c r="A40" s="11" t="s">
        <v>920</v>
      </c>
      <c r="B40" s="15" t="s">
        <v>921</v>
      </c>
      <c r="C40" s="9" t="s">
        <v>922</v>
      </c>
      <c r="D40" s="15" t="s">
        <v>923</v>
      </c>
      <c r="E40" s="9" t="s">
        <v>924</v>
      </c>
      <c r="F40" s="15" t="s">
        <v>753</v>
      </c>
      <c r="G40" s="15" t="s">
        <v>758</v>
      </c>
      <c r="H40" s="9">
        <f>COUNTIF('Test Cases'!$J$2:$J$155,"*"&amp;A40&amp;"*")</f>
        <v>1</v>
      </c>
      <c r="I40" s="9">
        <f>COUNTIFS('Test Cases'!$J$2:$J$155,"*"&amp;A40&amp;"*",'Test Cases'!$N$2:$N$155,"Pass")</f>
        <v>0</v>
      </c>
      <c r="J40" s="9">
        <f>COUNTIFS('Test Cases'!$J$2:$J$155,"*"&amp;A40&amp;"*",'Test Cases'!$N$2:$N$155,"Fail")</f>
        <v>0</v>
      </c>
      <c r="K40" s="9">
        <f>COUNTIFS('Test Cases'!$J$2:$J$155,"*"&amp;A40&amp;"*",'Test Cases'!$N$2:$N$155,"Blocked")</f>
        <v>0</v>
      </c>
      <c r="L40" s="9">
        <f>COUNTIFS('Test Cases'!$J$2:$J$155,"*"&amp;A40&amp;"*",'Test Cases'!$N$2:$N$155,"N/A")</f>
        <v>0</v>
      </c>
      <c r="M40" s="9">
        <f>COUNTIFS('Test Cases'!$J$2:$J$155,"*"&amp;A40&amp;"*",'Test Cases'!$N$2:$N$155,"Not Run")</f>
        <v>1</v>
      </c>
      <c r="N40" s="10">
        <f t="shared" si="0"/>
        <v>0</v>
      </c>
      <c r="O40" s="9" t="str">
        <f t="shared" si="1"/>
        <v>Not run</v>
      </c>
    </row>
    <row r="41" spans="1:15" ht="79.8" x14ac:dyDescent="0.3">
      <c r="A41" s="11" t="s">
        <v>128</v>
      </c>
      <c r="B41" s="15" t="s">
        <v>925</v>
      </c>
      <c r="C41" s="9" t="s">
        <v>95</v>
      </c>
      <c r="D41" s="15" t="s">
        <v>926</v>
      </c>
      <c r="E41" s="9" t="s">
        <v>95</v>
      </c>
      <c r="F41" s="15" t="s">
        <v>927</v>
      </c>
      <c r="G41" s="15" t="s">
        <v>928</v>
      </c>
      <c r="H41" s="9">
        <f>COUNTIF('Test Cases'!$J$2:$J$155,"*"&amp;A41&amp;"*")</f>
        <v>36</v>
      </c>
      <c r="I41" s="9">
        <f>COUNTIFS('Test Cases'!$J$2:$J$155,"*"&amp;A41&amp;"*",'Test Cases'!$N$2:$N$155,"Pass")</f>
        <v>1</v>
      </c>
      <c r="J41" s="9">
        <f>COUNTIFS('Test Cases'!$J$2:$J$155,"*"&amp;A41&amp;"*",'Test Cases'!$N$2:$N$155,"Fail")</f>
        <v>0</v>
      </c>
      <c r="K41" s="9">
        <f>COUNTIFS('Test Cases'!$J$2:$J$155,"*"&amp;A41&amp;"*",'Test Cases'!$N$2:$N$155,"Blocked")</f>
        <v>0</v>
      </c>
      <c r="L41" s="9">
        <f>COUNTIFS('Test Cases'!$J$2:$J$155,"*"&amp;A41&amp;"*",'Test Cases'!$N$2:$N$155,"N/A")</f>
        <v>0</v>
      </c>
      <c r="M41" s="9">
        <f>COUNTIFS('Test Cases'!$J$2:$J$155,"*"&amp;A41&amp;"*",'Test Cases'!$N$2:$N$155,"Not Run")</f>
        <v>35</v>
      </c>
      <c r="N41" s="10">
        <f t="shared" si="0"/>
        <v>2.7777777777777776E-2</v>
      </c>
      <c r="O41" s="9" t="str">
        <f t="shared" si="1"/>
        <v>In progress</v>
      </c>
    </row>
    <row r="43" spans="1:15" x14ac:dyDescent="0.3">
      <c r="A43" s="19" t="s">
        <v>929</v>
      </c>
      <c r="B43" s="20"/>
      <c r="C43" s="20"/>
      <c r="D43" s="20"/>
      <c r="E43" s="20"/>
      <c r="F43" s="20"/>
      <c r="G43" s="20"/>
      <c r="H43" s="20"/>
      <c r="I43" s="20"/>
      <c r="J43" s="20"/>
    </row>
  </sheetData>
  <autoFilter ref="A1:O41" xr:uid="{00000000-0009-0000-0000-000003000000}"/>
  <mergeCells count="1">
    <mergeCell ref="A43:J43"/>
  </mergeCells>
  <conditionalFormatting sqref="O2:O41">
    <cfRule type="cellIs" dxfId="3" priority="1" operator="equal">
      <formula>"Pass"</formula>
    </cfRule>
    <cfRule type="cellIs" dxfId="2" priority="2" operator="equal">
      <formula>"Fail"</formula>
    </cfRule>
    <cfRule type="cellIs" dxfId="1" priority="3" operator="equal">
      <formula>"In progress"</formula>
    </cfRule>
    <cfRule type="cellIs" dxfId="0" priority="4" operator="equal">
      <formula>"No coverage"</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5"/>
  <sheetViews>
    <sheetView workbookViewId="0">
      <pane xSplit="1" ySplit="1" topLeftCell="B2" activePane="bottomRight" state="frozen"/>
      <selection pane="topRight"/>
      <selection pane="bottomLeft"/>
      <selection pane="bottomRight"/>
    </sheetView>
  </sheetViews>
  <sheetFormatPr defaultRowHeight="14.4" x14ac:dyDescent="0.3"/>
  <cols>
    <col min="1" max="1" width="10" customWidth="1"/>
    <col min="2" max="2" width="9" customWidth="1"/>
    <col min="3" max="3" width="55" customWidth="1"/>
    <col min="4" max="4" width="34" customWidth="1"/>
    <col min="5" max="5" width="22" customWidth="1"/>
    <col min="6" max="7" width="18" customWidth="1"/>
    <col min="8" max="8" width="9" customWidth="1"/>
    <col min="9" max="9" width="12" customWidth="1"/>
    <col min="10" max="10" width="14" customWidth="1"/>
    <col min="11" max="11" width="12" customWidth="1"/>
    <col min="12" max="12" width="30" customWidth="1"/>
  </cols>
  <sheetData>
    <row r="1" spans="1:12" ht="31.95" customHeight="1" x14ac:dyDescent="0.3">
      <c r="A1" s="14" t="s">
        <v>930</v>
      </c>
      <c r="B1" s="14" t="s">
        <v>931</v>
      </c>
      <c r="C1" s="14" t="s">
        <v>932</v>
      </c>
      <c r="D1" s="14" t="s">
        <v>933</v>
      </c>
      <c r="E1" s="14" t="s">
        <v>79</v>
      </c>
      <c r="F1" s="14" t="s">
        <v>20</v>
      </c>
      <c r="G1" s="14" t="s">
        <v>803</v>
      </c>
      <c r="H1" s="14" t="s">
        <v>934</v>
      </c>
      <c r="I1" s="14" t="s">
        <v>67</v>
      </c>
      <c r="J1" s="14" t="s">
        <v>935</v>
      </c>
      <c r="K1" s="14" t="s">
        <v>936</v>
      </c>
      <c r="L1" s="14" t="s">
        <v>937</v>
      </c>
    </row>
    <row r="2" spans="1:12" ht="34.200000000000003" x14ac:dyDescent="0.3">
      <c r="A2" s="11" t="s">
        <v>396</v>
      </c>
      <c r="B2" s="9" t="s">
        <v>52</v>
      </c>
      <c r="C2" s="15" t="s">
        <v>938</v>
      </c>
      <c r="D2" s="15" t="s">
        <v>939</v>
      </c>
      <c r="E2" s="15" t="s">
        <v>430</v>
      </c>
      <c r="F2" s="15" t="s">
        <v>430</v>
      </c>
      <c r="G2" s="15" t="s">
        <v>940</v>
      </c>
      <c r="H2" s="9">
        <f>COUNTIFS('Test Cases'!$P$2:$P$155,"*"&amp;A2&amp;"*",'Test Cases'!$N$2:$N$155,"Fail")</f>
        <v>0</v>
      </c>
      <c r="I2" s="16" t="s">
        <v>68</v>
      </c>
      <c r="J2" s="17"/>
      <c r="K2" s="18"/>
      <c r="L2" s="17"/>
    </row>
    <row r="3" spans="1:12" ht="34.200000000000003" x14ac:dyDescent="0.3">
      <c r="A3" s="11" t="s">
        <v>401</v>
      </c>
      <c r="B3" s="9" t="s">
        <v>52</v>
      </c>
      <c r="C3" s="15" t="s">
        <v>941</v>
      </c>
      <c r="D3" s="15" t="s">
        <v>942</v>
      </c>
      <c r="E3" s="15" t="s">
        <v>136</v>
      </c>
      <c r="F3" s="15" t="s">
        <v>136</v>
      </c>
      <c r="G3" s="15" t="s">
        <v>397</v>
      </c>
      <c r="H3" s="9">
        <f>COUNTIFS('Test Cases'!$P$2:$P$155,"*"&amp;A3&amp;"*",'Test Cases'!$N$2:$N$155,"Fail")</f>
        <v>0</v>
      </c>
      <c r="I3" s="16" t="s">
        <v>68</v>
      </c>
      <c r="J3" s="17"/>
      <c r="K3" s="18"/>
      <c r="L3" s="17"/>
    </row>
    <row r="4" spans="1:12" ht="22.8" x14ac:dyDescent="0.3">
      <c r="A4" s="11" t="s">
        <v>293</v>
      </c>
      <c r="B4" s="9" t="s">
        <v>52</v>
      </c>
      <c r="C4" s="15" t="s">
        <v>943</v>
      </c>
      <c r="D4" s="15" t="s">
        <v>944</v>
      </c>
      <c r="E4" s="15" t="s">
        <v>291</v>
      </c>
      <c r="F4" s="15" t="s">
        <v>292</v>
      </c>
      <c r="G4" s="15" t="s">
        <v>945</v>
      </c>
      <c r="H4" s="9">
        <f>COUNTIFS('Test Cases'!$P$2:$P$155,"*"&amp;A4&amp;"*",'Test Cases'!$N$2:$N$155,"Fail")</f>
        <v>0</v>
      </c>
      <c r="I4" s="16" t="s">
        <v>68</v>
      </c>
      <c r="J4" s="17"/>
      <c r="K4" s="18"/>
      <c r="L4" s="17"/>
    </row>
    <row r="5" spans="1:12" ht="34.200000000000003" x14ac:dyDescent="0.3">
      <c r="A5" s="11" t="s">
        <v>406</v>
      </c>
      <c r="B5" s="9" t="s">
        <v>52</v>
      </c>
      <c r="C5" s="15" t="s">
        <v>946</v>
      </c>
      <c r="D5" s="15" t="s">
        <v>947</v>
      </c>
      <c r="E5" s="15" t="s">
        <v>948</v>
      </c>
      <c r="F5" s="15" t="s">
        <v>948</v>
      </c>
      <c r="G5" s="15" t="s">
        <v>949</v>
      </c>
      <c r="H5" s="9">
        <f>COUNTIFS('Test Cases'!$P$2:$P$155,"*"&amp;A5&amp;"*",'Test Cases'!$N$2:$N$155,"Fail")</f>
        <v>0</v>
      </c>
      <c r="I5" s="16" t="s">
        <v>68</v>
      </c>
      <c r="J5" s="17"/>
      <c r="K5" s="18"/>
      <c r="L5" s="17"/>
    </row>
    <row r="6" spans="1:12" ht="22.8" x14ac:dyDescent="0.3">
      <c r="A6" s="11" t="s">
        <v>834</v>
      </c>
      <c r="B6" s="9" t="s">
        <v>52</v>
      </c>
      <c r="C6" s="15" t="s">
        <v>950</v>
      </c>
      <c r="D6" s="15" t="s">
        <v>951</v>
      </c>
      <c r="E6" s="15" t="s">
        <v>832</v>
      </c>
      <c r="F6" s="15" t="s">
        <v>832</v>
      </c>
      <c r="G6" s="15" t="s">
        <v>322</v>
      </c>
      <c r="H6" s="9">
        <f>COUNTIFS('Test Cases'!$P$2:$P$155,"*"&amp;A6&amp;"*",'Test Cases'!$N$2:$N$155,"Fail")</f>
        <v>0</v>
      </c>
      <c r="I6" s="16" t="s">
        <v>68</v>
      </c>
      <c r="J6" s="17"/>
      <c r="K6" s="18"/>
      <c r="L6" s="17"/>
    </row>
    <row r="7" spans="1:12" x14ac:dyDescent="0.3">
      <c r="A7" s="11" t="s">
        <v>339</v>
      </c>
      <c r="B7" s="9" t="s">
        <v>52</v>
      </c>
      <c r="C7" s="15" t="s">
        <v>952</v>
      </c>
      <c r="D7" s="15" t="s">
        <v>953</v>
      </c>
      <c r="E7" s="15" t="s">
        <v>954</v>
      </c>
      <c r="F7" s="15" t="s">
        <v>338</v>
      </c>
      <c r="G7" s="15" t="s">
        <v>333</v>
      </c>
      <c r="H7" s="9">
        <f>COUNTIFS('Test Cases'!$P$2:$P$155,"*"&amp;A7&amp;"*",'Test Cases'!$N$2:$N$155,"Fail")</f>
        <v>0</v>
      </c>
      <c r="I7" s="16" t="s">
        <v>68</v>
      </c>
      <c r="J7" s="17"/>
      <c r="K7" s="18"/>
      <c r="L7" s="17"/>
    </row>
    <row r="8" spans="1:12" ht="45.6" x14ac:dyDescent="0.3">
      <c r="A8" s="11" t="s">
        <v>152</v>
      </c>
      <c r="B8" s="9" t="s">
        <v>52</v>
      </c>
      <c r="C8" s="15" t="s">
        <v>955</v>
      </c>
      <c r="D8" s="15" t="s">
        <v>956</v>
      </c>
      <c r="E8" s="15" t="s">
        <v>507</v>
      </c>
      <c r="F8" s="15" t="s">
        <v>140</v>
      </c>
      <c r="G8" s="15" t="s">
        <v>957</v>
      </c>
      <c r="H8" s="9">
        <f>COUNTIFS('Test Cases'!$P$2:$P$155,"*"&amp;A8&amp;"*",'Test Cases'!$N$2:$N$155,"Fail")</f>
        <v>0</v>
      </c>
      <c r="I8" s="16" t="s">
        <v>68</v>
      </c>
      <c r="J8" s="17"/>
      <c r="K8" s="18"/>
      <c r="L8" s="17"/>
    </row>
    <row r="9" spans="1:12" ht="22.8" x14ac:dyDescent="0.3">
      <c r="A9" s="11" t="s">
        <v>459</v>
      </c>
      <c r="B9" s="9" t="s">
        <v>52</v>
      </c>
      <c r="C9" s="15" t="s">
        <v>958</v>
      </c>
      <c r="D9" s="15" t="s">
        <v>959</v>
      </c>
      <c r="E9" s="15" t="s">
        <v>457</v>
      </c>
      <c r="F9" s="15" t="s">
        <v>458</v>
      </c>
      <c r="G9" s="15" t="s">
        <v>960</v>
      </c>
      <c r="H9" s="9">
        <f>COUNTIFS('Test Cases'!$P$2:$P$155,"*"&amp;A9&amp;"*",'Test Cases'!$N$2:$N$155,"Fail")</f>
        <v>0</v>
      </c>
      <c r="I9" s="16" t="s">
        <v>68</v>
      </c>
      <c r="J9" s="17"/>
      <c r="K9" s="18"/>
      <c r="L9" s="17"/>
    </row>
    <row r="10" spans="1:12" ht="34.200000000000003" x14ac:dyDescent="0.3">
      <c r="A10" s="11" t="s">
        <v>450</v>
      </c>
      <c r="B10" s="9" t="s">
        <v>52</v>
      </c>
      <c r="C10" s="15" t="s">
        <v>961</v>
      </c>
      <c r="D10" s="15" t="s">
        <v>962</v>
      </c>
      <c r="E10" s="15" t="s">
        <v>448</v>
      </c>
      <c r="F10" s="15" t="s">
        <v>449</v>
      </c>
      <c r="G10" s="15" t="s">
        <v>963</v>
      </c>
      <c r="H10" s="9">
        <f>COUNTIFS('Test Cases'!$P$2:$P$155,"*"&amp;A10&amp;"*",'Test Cases'!$N$2:$N$155,"Fail")</f>
        <v>0</v>
      </c>
      <c r="I10" s="16" t="s">
        <v>68</v>
      </c>
      <c r="J10" s="17"/>
      <c r="K10" s="18"/>
      <c r="L10" s="17"/>
    </row>
    <row r="11" spans="1:12" x14ac:dyDescent="0.3">
      <c r="A11" s="11" t="s">
        <v>560</v>
      </c>
      <c r="B11" s="9" t="s">
        <v>52</v>
      </c>
      <c r="C11" s="15" t="s">
        <v>964</v>
      </c>
      <c r="D11" s="15" t="s">
        <v>965</v>
      </c>
      <c r="E11" s="15" t="s">
        <v>559</v>
      </c>
      <c r="F11" s="15" t="s">
        <v>559</v>
      </c>
      <c r="G11" s="15" t="s">
        <v>556</v>
      </c>
      <c r="H11" s="9">
        <f>COUNTIFS('Test Cases'!$P$2:$P$155,"*"&amp;A11&amp;"*",'Test Cases'!$N$2:$N$155,"Fail")</f>
        <v>0</v>
      </c>
      <c r="I11" s="16" t="s">
        <v>68</v>
      </c>
      <c r="J11" s="17"/>
      <c r="K11" s="18"/>
      <c r="L11" s="17"/>
    </row>
    <row r="12" spans="1:12" ht="34.200000000000003" x14ac:dyDescent="0.3">
      <c r="A12" s="11" t="s">
        <v>598</v>
      </c>
      <c r="B12" s="9" t="s">
        <v>966</v>
      </c>
      <c r="C12" s="15" t="s">
        <v>967</v>
      </c>
      <c r="D12" s="15" t="s">
        <v>968</v>
      </c>
      <c r="E12" s="15" t="s">
        <v>969</v>
      </c>
      <c r="F12" s="15" t="s">
        <v>128</v>
      </c>
      <c r="G12" s="15" t="s">
        <v>594</v>
      </c>
      <c r="H12" s="9">
        <f>COUNTIFS('Test Cases'!$P$2:$P$155,"*"&amp;A12&amp;"*",'Test Cases'!$N$2:$N$155,"Fail")</f>
        <v>0</v>
      </c>
      <c r="I12" s="16" t="s">
        <v>68</v>
      </c>
      <c r="J12" s="17"/>
      <c r="K12" s="18"/>
      <c r="L12" s="17"/>
    </row>
    <row r="13" spans="1:12" ht="22.8" x14ac:dyDescent="0.3">
      <c r="A13" s="11" t="s">
        <v>748</v>
      </c>
      <c r="B13" s="9" t="s">
        <v>52</v>
      </c>
      <c r="C13" s="15" t="s">
        <v>970</v>
      </c>
      <c r="D13" s="15" t="s">
        <v>971</v>
      </c>
      <c r="E13" s="15" t="s">
        <v>972</v>
      </c>
      <c r="F13" s="15" t="s">
        <v>747</v>
      </c>
      <c r="G13" s="15" t="s">
        <v>743</v>
      </c>
      <c r="H13" s="9">
        <f>COUNTIFS('Test Cases'!$P$2:$P$155,"*"&amp;A13&amp;"*",'Test Cases'!$N$2:$N$155,"Fail")</f>
        <v>0</v>
      </c>
      <c r="I13" s="16" t="s">
        <v>68</v>
      </c>
      <c r="J13" s="17"/>
      <c r="K13" s="18"/>
      <c r="L13" s="17"/>
    </row>
    <row r="14" spans="1:12" ht="22.8" x14ac:dyDescent="0.3">
      <c r="A14" s="11" t="s">
        <v>473</v>
      </c>
      <c r="B14" s="9" t="s">
        <v>52</v>
      </c>
      <c r="C14" s="15" t="s">
        <v>973</v>
      </c>
      <c r="D14" s="15" t="s">
        <v>974</v>
      </c>
      <c r="E14" s="15" t="s">
        <v>975</v>
      </c>
      <c r="F14" s="15" t="s">
        <v>164</v>
      </c>
      <c r="G14" s="15" t="s">
        <v>976</v>
      </c>
      <c r="H14" s="9">
        <f>COUNTIFS('Test Cases'!$P$2:$P$155,"*"&amp;A14&amp;"*",'Test Cases'!$N$2:$N$155,"Fail")</f>
        <v>0</v>
      </c>
      <c r="I14" s="16" t="s">
        <v>68</v>
      </c>
      <c r="J14" s="17"/>
      <c r="K14" s="18"/>
      <c r="L14" s="17"/>
    </row>
    <row r="15" spans="1:12" ht="22.8" x14ac:dyDescent="0.3">
      <c r="A15" s="11" t="s">
        <v>344</v>
      </c>
      <c r="B15" s="9" t="s">
        <v>53</v>
      </c>
      <c r="C15" s="15" t="s">
        <v>977</v>
      </c>
      <c r="D15" s="15" t="s">
        <v>978</v>
      </c>
      <c r="E15" s="15" t="s">
        <v>343</v>
      </c>
      <c r="F15" s="15" t="s">
        <v>343</v>
      </c>
      <c r="G15" s="15" t="s">
        <v>340</v>
      </c>
      <c r="H15" s="9">
        <f>COUNTIFS('Test Cases'!$P$2:$P$155,"*"&amp;A15&amp;"*",'Test Cases'!$N$2:$N$155,"Fail")</f>
        <v>0</v>
      </c>
      <c r="I15" s="16" t="s">
        <v>68</v>
      </c>
      <c r="J15" s="17"/>
      <c r="K15" s="18"/>
      <c r="L15" s="17"/>
    </row>
    <row r="16" spans="1:12" x14ac:dyDescent="0.3">
      <c r="A16" s="11" t="s">
        <v>350</v>
      </c>
      <c r="B16" s="9" t="s">
        <v>53</v>
      </c>
      <c r="C16" s="15" t="s">
        <v>979</v>
      </c>
      <c r="D16" s="15" t="s">
        <v>980</v>
      </c>
      <c r="E16" s="15" t="s">
        <v>348</v>
      </c>
      <c r="F16" s="15" t="s">
        <v>349</v>
      </c>
      <c r="G16" s="15" t="s">
        <v>345</v>
      </c>
      <c r="H16" s="9">
        <f>COUNTIFS('Test Cases'!$P$2:$P$155,"*"&amp;A16&amp;"*",'Test Cases'!$N$2:$N$155,"Fail")</f>
        <v>0</v>
      </c>
      <c r="I16" s="16" t="s">
        <v>68</v>
      </c>
      <c r="J16" s="17"/>
      <c r="K16" s="18"/>
      <c r="L16" s="17"/>
    </row>
    <row r="17" spans="1:12" ht="22.8" x14ac:dyDescent="0.3">
      <c r="A17" s="11" t="s">
        <v>768</v>
      </c>
      <c r="B17" s="9" t="s">
        <v>52</v>
      </c>
      <c r="C17" s="15" t="s">
        <v>981</v>
      </c>
      <c r="D17" s="15" t="s">
        <v>982</v>
      </c>
      <c r="E17" s="15" t="s">
        <v>240</v>
      </c>
      <c r="F17" s="15" t="s">
        <v>241</v>
      </c>
      <c r="G17" s="15" t="s">
        <v>764</v>
      </c>
      <c r="H17" s="9">
        <f>COUNTIFS('Test Cases'!$P$2:$P$155,"*"&amp;A17&amp;"*",'Test Cases'!$N$2:$N$155,"Fail")</f>
        <v>0</v>
      </c>
      <c r="I17" s="16" t="s">
        <v>68</v>
      </c>
      <c r="J17" s="17"/>
      <c r="K17" s="18"/>
      <c r="L17" s="17"/>
    </row>
    <row r="18" spans="1:12" ht="34.200000000000003" x14ac:dyDescent="0.3">
      <c r="A18" s="11" t="s">
        <v>786</v>
      </c>
      <c r="B18" s="9" t="s">
        <v>53</v>
      </c>
      <c r="C18" s="15" t="s">
        <v>983</v>
      </c>
      <c r="D18" s="15" t="s">
        <v>984</v>
      </c>
      <c r="E18" s="15" t="s">
        <v>985</v>
      </c>
      <c r="F18" s="15" t="s">
        <v>986</v>
      </c>
      <c r="G18" s="15" t="s">
        <v>781</v>
      </c>
      <c r="H18" s="9">
        <f>COUNTIFS('Test Cases'!$P$2:$P$155,"*"&amp;A18&amp;"*",'Test Cases'!$N$2:$N$155,"Fail")</f>
        <v>0</v>
      </c>
      <c r="I18" s="16" t="s">
        <v>68</v>
      </c>
      <c r="J18" s="17"/>
      <c r="K18" s="18"/>
      <c r="L18" s="17"/>
    </row>
    <row r="19" spans="1:12" ht="68.400000000000006" x14ac:dyDescent="0.3">
      <c r="A19" s="11" t="s">
        <v>572</v>
      </c>
      <c r="B19" s="9" t="s">
        <v>52</v>
      </c>
      <c r="C19" s="15" t="s">
        <v>987</v>
      </c>
      <c r="D19" s="15" t="s">
        <v>988</v>
      </c>
      <c r="E19" s="15" t="s">
        <v>989</v>
      </c>
      <c r="F19" s="15" t="s">
        <v>791</v>
      </c>
      <c r="G19" s="15" t="s">
        <v>990</v>
      </c>
      <c r="H19" s="9">
        <f>COUNTIFS('Test Cases'!$P$2:$P$155,"*"&amp;A19&amp;"*",'Test Cases'!$N$2:$N$155,"Fail")</f>
        <v>1</v>
      </c>
      <c r="I19" s="16" t="s">
        <v>68</v>
      </c>
      <c r="J19" s="17"/>
      <c r="K19" s="18"/>
      <c r="L19" s="17" t="s">
        <v>991</v>
      </c>
    </row>
    <row r="20" spans="1:12" ht="22.8" x14ac:dyDescent="0.3">
      <c r="A20" s="11" t="s">
        <v>307</v>
      </c>
      <c r="B20" s="9" t="s">
        <v>53</v>
      </c>
      <c r="C20" s="15" t="s">
        <v>992</v>
      </c>
      <c r="D20" s="15" t="s">
        <v>993</v>
      </c>
      <c r="E20" s="15" t="s">
        <v>994</v>
      </c>
      <c r="F20" s="15" t="s">
        <v>128</v>
      </c>
      <c r="G20" s="15" t="s">
        <v>995</v>
      </c>
      <c r="H20" s="9">
        <f>COUNTIFS('Test Cases'!$P$2:$P$155,"*"&amp;A20&amp;"*",'Test Cases'!$N$2:$N$155,"Fail")</f>
        <v>0</v>
      </c>
      <c r="I20" s="16" t="s">
        <v>68</v>
      </c>
      <c r="J20" s="17"/>
      <c r="K20" s="18"/>
      <c r="L20" s="17"/>
    </row>
    <row r="21" spans="1:12" ht="34.200000000000003" x14ac:dyDescent="0.3">
      <c r="A21" s="11" t="s">
        <v>996</v>
      </c>
      <c r="B21" s="9" t="s">
        <v>53</v>
      </c>
      <c r="C21" s="15" t="s">
        <v>997</v>
      </c>
      <c r="D21" s="15" t="s">
        <v>998</v>
      </c>
      <c r="E21" s="15" t="s">
        <v>999</v>
      </c>
      <c r="F21" s="15" t="s">
        <v>388</v>
      </c>
      <c r="G21" s="15" t="s">
        <v>1000</v>
      </c>
      <c r="H21" s="9">
        <f>COUNTIFS('Test Cases'!$P$2:$P$155,"*"&amp;A21&amp;"*",'Test Cases'!$N$2:$N$155,"Fail")</f>
        <v>0</v>
      </c>
      <c r="I21" s="16" t="s">
        <v>68</v>
      </c>
      <c r="J21" s="17"/>
      <c r="K21" s="18"/>
      <c r="L21" s="17"/>
    </row>
    <row r="22" spans="1:12" ht="22.8" x14ac:dyDescent="0.3">
      <c r="A22" s="11" t="s">
        <v>1001</v>
      </c>
      <c r="B22" s="9" t="s">
        <v>53</v>
      </c>
      <c r="C22" s="15" t="s">
        <v>1002</v>
      </c>
      <c r="D22" s="15" t="s">
        <v>1003</v>
      </c>
      <c r="E22" s="15" t="s">
        <v>1004</v>
      </c>
      <c r="F22" s="15" t="s">
        <v>906</v>
      </c>
      <c r="G22" s="15" t="s">
        <v>278</v>
      </c>
      <c r="H22" s="9">
        <f>COUNTIFS('Test Cases'!$P$2:$P$155,"*"&amp;A22&amp;"*",'Test Cases'!$N$2:$N$155,"Fail")</f>
        <v>0</v>
      </c>
      <c r="I22" s="16" t="s">
        <v>68</v>
      </c>
      <c r="J22" s="17"/>
      <c r="K22" s="18"/>
      <c r="L22" s="17"/>
    </row>
    <row r="23" spans="1:12" ht="22.8" x14ac:dyDescent="0.3">
      <c r="A23" s="11" t="s">
        <v>673</v>
      </c>
      <c r="B23" s="9" t="s">
        <v>52</v>
      </c>
      <c r="C23" s="15" t="s">
        <v>1005</v>
      </c>
      <c r="D23" s="15" t="s">
        <v>1006</v>
      </c>
      <c r="E23" s="15" t="s">
        <v>672</v>
      </c>
      <c r="F23" s="15" t="s">
        <v>672</v>
      </c>
      <c r="G23" s="15" t="s">
        <v>667</v>
      </c>
      <c r="H23" s="9">
        <f>COUNTIFS('Test Cases'!$P$2:$P$155,"*"&amp;A23&amp;"*",'Test Cases'!$N$2:$N$155,"Fail")</f>
        <v>0</v>
      </c>
      <c r="I23" s="16" t="s">
        <v>68</v>
      </c>
      <c r="J23" s="17"/>
      <c r="K23" s="18"/>
      <c r="L23" s="17"/>
    </row>
    <row r="24" spans="1:12" x14ac:dyDescent="0.3">
      <c r="A24" s="11" t="s">
        <v>417</v>
      </c>
      <c r="B24" s="9" t="s">
        <v>53</v>
      </c>
      <c r="C24" s="15" t="s">
        <v>1007</v>
      </c>
      <c r="D24" s="15" t="s">
        <v>1008</v>
      </c>
      <c r="E24" s="15" t="s">
        <v>369</v>
      </c>
      <c r="F24" s="15" t="s">
        <v>369</v>
      </c>
      <c r="G24" s="15" t="s">
        <v>414</v>
      </c>
      <c r="H24" s="9">
        <f>COUNTIFS('Test Cases'!$P$2:$P$155,"*"&amp;A24&amp;"*",'Test Cases'!$N$2:$N$155,"Fail")</f>
        <v>0</v>
      </c>
      <c r="I24" s="16" t="s">
        <v>68</v>
      </c>
      <c r="J24" s="17"/>
      <c r="K24" s="18"/>
      <c r="L24" s="17"/>
    </row>
    <row r="25" spans="1:12" x14ac:dyDescent="0.3">
      <c r="A25" s="11" t="s">
        <v>424</v>
      </c>
      <c r="B25" s="9" t="s">
        <v>53</v>
      </c>
      <c r="C25" s="15" t="s">
        <v>1009</v>
      </c>
      <c r="D25" s="15" t="s">
        <v>1010</v>
      </c>
      <c r="E25" s="15" t="s">
        <v>373</v>
      </c>
      <c r="F25" s="15" t="s">
        <v>373</v>
      </c>
      <c r="G25" s="15" t="s">
        <v>418</v>
      </c>
      <c r="H25" s="9">
        <f>COUNTIFS('Test Cases'!$P$2:$P$155,"*"&amp;A25&amp;"*",'Test Cases'!$N$2:$N$155,"Fail")</f>
        <v>0</v>
      </c>
      <c r="I25" s="16" t="s">
        <v>68</v>
      </c>
      <c r="J25" s="17"/>
      <c r="K25" s="18"/>
      <c r="L25" s="17"/>
    </row>
    <row r="26" spans="1:12" x14ac:dyDescent="0.3">
      <c r="A26" s="11" t="s">
        <v>169</v>
      </c>
      <c r="B26" s="9" t="s">
        <v>53</v>
      </c>
      <c r="C26" s="15" t="s">
        <v>1011</v>
      </c>
      <c r="D26" s="15" t="s">
        <v>1012</v>
      </c>
      <c r="E26" s="15" t="s">
        <v>208</v>
      </c>
      <c r="F26" s="15" t="s">
        <v>164</v>
      </c>
      <c r="G26" s="15" t="s">
        <v>1013</v>
      </c>
      <c r="H26" s="9">
        <f>COUNTIFS('Test Cases'!$P$2:$P$155,"*"&amp;A26&amp;"*",'Test Cases'!$N$2:$N$155,"Fail")</f>
        <v>0</v>
      </c>
      <c r="I26" s="16" t="s">
        <v>68</v>
      </c>
      <c r="J26" s="17"/>
      <c r="K26" s="18"/>
      <c r="L26" s="17"/>
    </row>
    <row r="27" spans="1:12" ht="22.8" x14ac:dyDescent="0.3">
      <c r="A27" s="11" t="s">
        <v>1014</v>
      </c>
      <c r="B27" s="9" t="s">
        <v>53</v>
      </c>
      <c r="C27" s="15" t="s">
        <v>1015</v>
      </c>
      <c r="D27" s="15" t="s">
        <v>1016</v>
      </c>
      <c r="E27" s="15" t="s">
        <v>1017</v>
      </c>
      <c r="F27" s="15" t="s">
        <v>487</v>
      </c>
      <c r="G27" s="15" t="s">
        <v>1018</v>
      </c>
      <c r="H27" s="9">
        <f>COUNTIFS('Test Cases'!$P$2:$P$155,"*"&amp;A27&amp;"*",'Test Cases'!$N$2:$N$155,"Fail")</f>
        <v>0</v>
      </c>
      <c r="I27" s="16" t="s">
        <v>68</v>
      </c>
      <c r="J27" s="17"/>
      <c r="K27" s="18"/>
      <c r="L27" s="17"/>
    </row>
    <row r="28" spans="1:12" ht="22.8" x14ac:dyDescent="0.3">
      <c r="A28" s="11" t="s">
        <v>514</v>
      </c>
      <c r="B28" s="9" t="s">
        <v>53</v>
      </c>
      <c r="C28" s="15" t="s">
        <v>1019</v>
      </c>
      <c r="D28" s="15" t="s">
        <v>1020</v>
      </c>
      <c r="E28" s="15" t="s">
        <v>1021</v>
      </c>
      <c r="F28" s="15" t="s">
        <v>1022</v>
      </c>
      <c r="G28" s="15" t="s">
        <v>508</v>
      </c>
      <c r="H28" s="9">
        <f>COUNTIFS('Test Cases'!$P$2:$P$155,"*"&amp;A28&amp;"*",'Test Cases'!$N$2:$N$155,"Fail")</f>
        <v>0</v>
      </c>
      <c r="I28" s="16" t="s">
        <v>68</v>
      </c>
      <c r="J28" s="17"/>
      <c r="K28" s="18"/>
      <c r="L28" s="17"/>
    </row>
    <row r="29" spans="1:12" ht="22.8" x14ac:dyDescent="0.3">
      <c r="A29" s="11" t="s">
        <v>357</v>
      </c>
      <c r="B29" s="9" t="s">
        <v>53</v>
      </c>
      <c r="C29" s="15" t="s">
        <v>1023</v>
      </c>
      <c r="D29" s="15" t="s">
        <v>1024</v>
      </c>
      <c r="E29" s="15" t="s">
        <v>355</v>
      </c>
      <c r="F29" s="15" t="s">
        <v>356</v>
      </c>
      <c r="G29" s="15" t="s">
        <v>351</v>
      </c>
      <c r="H29" s="9">
        <f>COUNTIFS('Test Cases'!$P$2:$P$155,"*"&amp;A29&amp;"*",'Test Cases'!$N$2:$N$155,"Fail")</f>
        <v>0</v>
      </c>
      <c r="I29" s="16" t="s">
        <v>68</v>
      </c>
      <c r="J29" s="17"/>
      <c r="K29" s="18"/>
      <c r="L29" s="17"/>
    </row>
    <row r="30" spans="1:12" ht="22.8" x14ac:dyDescent="0.3">
      <c r="A30" s="11" t="s">
        <v>364</v>
      </c>
      <c r="B30" s="9" t="s">
        <v>53</v>
      </c>
      <c r="C30" s="15" t="s">
        <v>1025</v>
      </c>
      <c r="D30" s="15" t="s">
        <v>1026</v>
      </c>
      <c r="E30" s="15" t="s">
        <v>362</v>
      </c>
      <c r="F30" s="15" t="s">
        <v>363</v>
      </c>
      <c r="G30" s="15" t="s">
        <v>358</v>
      </c>
      <c r="H30" s="9">
        <f>COUNTIFS('Test Cases'!$P$2:$P$155,"*"&amp;A30&amp;"*",'Test Cases'!$N$2:$N$155,"Fail")</f>
        <v>0</v>
      </c>
      <c r="I30" s="16" t="s">
        <v>68</v>
      </c>
      <c r="J30" s="17"/>
      <c r="K30" s="18"/>
      <c r="L30" s="17"/>
    </row>
    <row r="31" spans="1:12" ht="22.8" x14ac:dyDescent="0.3">
      <c r="A31" s="11" t="s">
        <v>666</v>
      </c>
      <c r="B31" s="9" t="s">
        <v>53</v>
      </c>
      <c r="C31" s="15" t="s">
        <v>1027</v>
      </c>
      <c r="D31" s="15" t="s">
        <v>1028</v>
      </c>
      <c r="E31" s="15" t="s">
        <v>1029</v>
      </c>
      <c r="F31" s="15" t="s">
        <v>862</v>
      </c>
      <c r="G31" s="15" t="s">
        <v>661</v>
      </c>
      <c r="H31" s="9">
        <f>COUNTIFS('Test Cases'!$P$2:$P$155,"*"&amp;A31&amp;"*",'Test Cases'!$N$2:$N$155,"Fail")</f>
        <v>0</v>
      </c>
      <c r="I31" s="16" t="s">
        <v>68</v>
      </c>
      <c r="J31" s="17"/>
      <c r="K31" s="18"/>
      <c r="L31" s="17"/>
    </row>
    <row r="32" spans="1:12" ht="45.6" x14ac:dyDescent="0.3">
      <c r="A32" s="11" t="s">
        <v>758</v>
      </c>
      <c r="B32" s="9" t="s">
        <v>1030</v>
      </c>
      <c r="C32" s="15" t="s">
        <v>1031</v>
      </c>
      <c r="D32" s="15" t="s">
        <v>1032</v>
      </c>
      <c r="E32" s="15" t="s">
        <v>1033</v>
      </c>
      <c r="F32" s="15" t="s">
        <v>757</v>
      </c>
      <c r="G32" s="15" t="s">
        <v>753</v>
      </c>
      <c r="H32" s="9">
        <f>COUNTIFS('Test Cases'!$P$2:$P$155,"*"&amp;A32&amp;"*",'Test Cases'!$N$2:$N$155,"Fail")</f>
        <v>0</v>
      </c>
      <c r="I32" s="16" t="s">
        <v>68</v>
      </c>
      <c r="J32" s="17"/>
      <c r="K32" s="18"/>
      <c r="L32" s="17"/>
    </row>
    <row r="33" spans="1:12" ht="79.8" x14ac:dyDescent="0.3">
      <c r="A33" s="11" t="s">
        <v>1034</v>
      </c>
      <c r="B33" s="9" t="s">
        <v>53</v>
      </c>
      <c r="C33" s="15" t="s">
        <v>1035</v>
      </c>
      <c r="D33" s="15" t="s">
        <v>1036</v>
      </c>
      <c r="E33" s="15" t="s">
        <v>448</v>
      </c>
      <c r="F33" s="15" t="s">
        <v>449</v>
      </c>
      <c r="G33" s="15" t="s">
        <v>963</v>
      </c>
      <c r="H33" s="9">
        <f>COUNTIFS('Test Cases'!$P$2:$P$155,"*"&amp;A33&amp;"*",'Test Cases'!$N$2:$N$155,"Fail")</f>
        <v>0</v>
      </c>
      <c r="I33" s="16" t="s">
        <v>68</v>
      </c>
      <c r="J33" s="17"/>
      <c r="K33" s="18"/>
      <c r="L33" s="17" t="s">
        <v>1037</v>
      </c>
    </row>
    <row r="35" spans="1:12" x14ac:dyDescent="0.3">
      <c r="A35" s="19" t="s">
        <v>1038</v>
      </c>
      <c r="B35" s="20"/>
      <c r="C35" s="20"/>
      <c r="D35" s="20"/>
      <c r="E35" s="20"/>
      <c r="F35" s="20"/>
      <c r="G35" s="20"/>
      <c r="H35" s="20"/>
    </row>
  </sheetData>
  <autoFilter ref="A1:L33" xr:uid="{00000000-0009-0000-0000-000004000000}"/>
  <mergeCells count="1">
    <mergeCell ref="A35:H35"/>
  </mergeCells>
  <dataValidations count="1">
    <dataValidation type="list" sqref="I2:I33" xr:uid="{00000000-0002-0000-0400-000000000000}">
      <formula1>"Open,In progress,Fixed,Verified,Won't fix,SRS to update"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Cover</vt:lpstr>
      <vt:lpstr>Summary</vt:lpstr>
      <vt:lpstr>Test Cases</vt:lpstr>
      <vt:lpstr>RTM</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Maria Sophea Balidio</cp:lastModifiedBy>
  <dcterms:created xsi:type="dcterms:W3CDTF">2026-10-07T03:22:15Z</dcterms:created>
  <dcterms:modified xsi:type="dcterms:W3CDTF">2026-10-07T03:22:46Z</dcterms:modified>
</cp:coreProperties>
</file>